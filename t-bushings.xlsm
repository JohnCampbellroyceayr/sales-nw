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 Campbell\Documents\John Coding projects\sales something or other\sales nw\"/>
    </mc:Choice>
  </mc:AlternateContent>
  <xr:revisionPtr revIDLastSave="0" documentId="13_ncr:1_{BFA7D862-C3C3-4DE4-BE19-60C60CFBA5A0}" xr6:coauthVersionLast="47" xr6:coauthVersionMax="47" xr10:uidLastSave="{00000000-0000-0000-0000-000000000000}"/>
  <bookViews>
    <workbookView xWindow="28680" yWindow="-120" windowWidth="29040" windowHeight="15720" activeTab="1" xr2:uid="{732C3581-20AF-4184-9A07-B609BAF4C102}"/>
  </bookViews>
  <sheets>
    <sheet name="QI2_Data" sheetId="4" r:id="rId1"/>
    <sheet name="QI2_Inputs" sheetId="3" r:id="rId2"/>
    <sheet name="UserNameTest" sheetId="5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" i="4" l="1"/>
  <c r="F27" i="4"/>
  <c r="F26" i="4"/>
  <c r="F25" i="4"/>
  <c r="F24" i="4"/>
  <c r="F23" i="4"/>
  <c r="F20" i="4"/>
  <c r="F19" i="4"/>
  <c r="F18" i="4"/>
  <c r="F17" i="4"/>
  <c r="E42" i="4"/>
  <c r="E38" i="4"/>
  <c r="E36" i="4"/>
  <c r="D37" i="4"/>
  <c r="B20" i="4"/>
  <c r="BD43" i="4"/>
  <c r="BD42" i="4"/>
  <c r="BD41" i="4"/>
  <c r="BD40" i="4"/>
  <c r="BD39" i="4"/>
  <c r="BD38" i="4"/>
  <c r="BD37" i="4"/>
  <c r="BD36" i="4"/>
  <c r="BD35" i="4"/>
  <c r="BD34" i="4"/>
  <c r="BD33" i="4"/>
  <c r="BD32" i="4"/>
  <c r="BD31" i="4"/>
  <c r="BD30" i="4"/>
  <c r="BD26" i="4"/>
  <c r="BD23" i="4"/>
  <c r="E16" i="3"/>
  <c r="D16" i="3"/>
  <c r="C16" i="3"/>
  <c r="B16" i="3"/>
  <c r="E11" i="3"/>
  <c r="I9" i="3"/>
  <c r="E22" i="3" l="1"/>
  <c r="BD21" i="4" s="1"/>
  <c r="F31" i="4"/>
  <c r="B37" i="4" l="1"/>
  <c r="E37" i="4" s="1"/>
  <c r="B38" i="4" l="1"/>
  <c r="B43" i="4"/>
  <c r="E43" i="4" s="1"/>
  <c r="B39" i="4"/>
  <c r="B42" i="4"/>
  <c r="B41" i="4"/>
  <c r="B40" i="4"/>
  <c r="E41" i="4" s="1"/>
  <c r="E40" i="4" l="1"/>
  <c r="E39" i="4"/>
  <c r="E44" i="4" l="1"/>
  <c r="G23" i="3" s="1"/>
</calcChain>
</file>

<file path=xl/sharedStrings.xml><?xml version="1.0" encoding="utf-8"?>
<sst xmlns="http://schemas.openxmlformats.org/spreadsheetml/2006/main" count="294" uniqueCount="155">
  <si>
    <t>Drawing#:</t>
  </si>
  <si>
    <t>Date:</t>
  </si>
  <si>
    <t>Reference:</t>
  </si>
  <si>
    <t>Quantity:</t>
  </si>
  <si>
    <t>Discount:</t>
  </si>
  <si>
    <t>OA 
Length</t>
  </si>
  <si>
    <t>Material</t>
  </si>
  <si>
    <t>Metric:</t>
  </si>
  <si>
    <t>Yes</t>
  </si>
  <si>
    <t>Imperial:</t>
  </si>
  <si>
    <t>Converted:</t>
  </si>
  <si>
    <t>Qty</t>
  </si>
  <si>
    <t>Dia / Thread</t>
  </si>
  <si>
    <t>Bolt Circle</t>
  </si>
  <si>
    <t>Yes No</t>
  </si>
  <si>
    <t>Width</t>
  </si>
  <si>
    <t>Depth</t>
  </si>
  <si>
    <t>Threaded  Holes:</t>
  </si>
  <si>
    <t>Keyway:</t>
  </si>
  <si>
    <t>-</t>
  </si>
  <si>
    <t>Pinholes:</t>
  </si>
  <si>
    <t>** 2 keyways always cut for Balance</t>
  </si>
  <si>
    <t>Suface Ground</t>
  </si>
  <si>
    <t>No</t>
  </si>
  <si>
    <t>For Tolerances Tighter Than + or - 0.0008" (0.020mm)</t>
  </si>
  <si>
    <t xml:space="preserve">NET PRICING </t>
  </si>
  <si>
    <t>NOTES:</t>
  </si>
  <si>
    <t>Data Validation Information</t>
  </si>
  <si>
    <t>.</t>
  </si>
  <si>
    <t>QI SHEET INFORMATION</t>
  </si>
  <si>
    <t>QI_NUMBER</t>
  </si>
  <si>
    <t>Material:</t>
  </si>
  <si>
    <t xml:space="preserve">Yes No </t>
  </si>
  <si>
    <t>Discount</t>
  </si>
  <si>
    <t>Delivery Days</t>
  </si>
  <si>
    <t>QI_FILENAME</t>
  </si>
  <si>
    <t>DATECREATED</t>
  </si>
  <si>
    <t>DESC IMPORT LOCATION</t>
  </si>
  <si>
    <t>Aluminum</t>
  </si>
  <si>
    <t>SHEETPREFIX</t>
  </si>
  <si>
    <t>PRICE EACH IMPORT LOCATION</t>
  </si>
  <si>
    <t>Cost Breakdown</t>
  </si>
  <si>
    <t>QI EXPORT INFORMATION (FIRST NODE VALUE MUST BE AT LINE 15, COL HEADERS ON LINE 14</t>
  </si>
  <si>
    <t>NODE NAME</t>
  </si>
  <si>
    <t>SHEET LOCATION</t>
  </si>
  <si>
    <t>CELL ADDRESS</t>
  </si>
  <si>
    <t>VALUE</t>
  </si>
  <si>
    <t>IMPORT SHEET LOCATION</t>
  </si>
  <si>
    <t>IMPORT CELL ADDRESS</t>
  </si>
  <si>
    <t>Material Cost</t>
  </si>
  <si>
    <t>BB2</t>
  </si>
  <si>
    <t>BB3</t>
  </si>
  <si>
    <t xml:space="preserve">Steel </t>
  </si>
  <si>
    <t>Standard cost</t>
  </si>
  <si>
    <t>BB6</t>
  </si>
  <si>
    <t>BB4</t>
  </si>
  <si>
    <t>Volume Multipyer</t>
  </si>
  <si>
    <t>Lenth x Diameter</t>
  </si>
  <si>
    <t>TYPE</t>
  </si>
  <si>
    <t>Time</t>
  </si>
  <si>
    <t>DRAWINGNUMBER</t>
  </si>
  <si>
    <t>C9</t>
  </si>
  <si>
    <t>Turning Min</t>
  </si>
  <si>
    <t>Min Charge for parts</t>
  </si>
  <si>
    <t>DESCRIPTION</t>
  </si>
  <si>
    <t>BB5</t>
  </si>
  <si>
    <t xml:space="preserve">Threaded </t>
  </si>
  <si>
    <t>DELIVERY</t>
  </si>
  <si>
    <t>E4</t>
  </si>
  <si>
    <t>BB8</t>
  </si>
  <si>
    <t>Pinholes</t>
  </si>
  <si>
    <t>Min + $5 each additional</t>
  </si>
  <si>
    <t>QUANTITY</t>
  </si>
  <si>
    <t>I10</t>
  </si>
  <si>
    <t>PRICEEACH</t>
  </si>
  <si>
    <t>G23</t>
  </si>
  <si>
    <t>BB7</t>
  </si>
  <si>
    <t>Keyway</t>
  </si>
  <si>
    <t>REFERENCE</t>
  </si>
  <si>
    <t>C10</t>
  </si>
  <si>
    <t>Surface Ground</t>
  </si>
  <si>
    <t>DISCOUNT</t>
  </si>
  <si>
    <t>I11</t>
  </si>
  <si>
    <t>Type Of Bushing Surcharges</t>
  </si>
  <si>
    <t>B16</t>
  </si>
  <si>
    <t>B14</t>
  </si>
  <si>
    <t>BORE</t>
  </si>
  <si>
    <t>C16</t>
  </si>
  <si>
    <t>C14</t>
  </si>
  <si>
    <t>LENGTH</t>
  </si>
  <si>
    <t>D16</t>
  </si>
  <si>
    <t>D14</t>
  </si>
  <si>
    <t>MATERIAL</t>
  </si>
  <si>
    <t>E14</t>
  </si>
  <si>
    <t>F14</t>
  </si>
  <si>
    <t>THREADEDHOLES_QTY</t>
  </si>
  <si>
    <t>C19</t>
  </si>
  <si>
    <t>List Price</t>
  </si>
  <si>
    <t>THREADEDHOLES_DIAMETER</t>
  </si>
  <si>
    <t>D19</t>
  </si>
  <si>
    <t>Multiplyer for Future Increases</t>
  </si>
  <si>
    <t>THREADEDHOLES_BOLTCIRCLE</t>
  </si>
  <si>
    <t>E19</t>
  </si>
  <si>
    <t>PINHOLES_QTY</t>
  </si>
  <si>
    <t>C20</t>
  </si>
  <si>
    <t>Quantity Breakdown</t>
  </si>
  <si>
    <t>PINHOLES_DIAMETER</t>
  </si>
  <si>
    <t>D20</t>
  </si>
  <si>
    <t>PINHOLES_BOLTCIRCLE</t>
  </si>
  <si>
    <t>E20</t>
  </si>
  <si>
    <t>Qty Error</t>
  </si>
  <si>
    <t>SURFACE_GROUND</t>
  </si>
  <si>
    <t>C21</t>
  </si>
  <si>
    <t xml:space="preserve">List from above </t>
  </si>
  <si>
    <t>KEYWAY_YES_NO</t>
  </si>
  <si>
    <t>G19</t>
  </si>
  <si>
    <t>Discounted 3%</t>
  </si>
  <si>
    <t>KEYWAY_WIDTH</t>
  </si>
  <si>
    <t>H19</t>
  </si>
  <si>
    <t>Discounted 5%</t>
  </si>
  <si>
    <t>KEYWAY_DEPTH</t>
  </si>
  <si>
    <t>I19</t>
  </si>
  <si>
    <t>Discounted 10%</t>
  </si>
  <si>
    <t>NOTES</t>
  </si>
  <si>
    <t>B25</t>
  </si>
  <si>
    <t>Discounted 15%</t>
  </si>
  <si>
    <t>Discounted 20%</t>
  </si>
  <si>
    <t>Discounted 22%</t>
  </si>
  <si>
    <t>Final Price</t>
  </si>
  <si>
    <t>Error Codes</t>
  </si>
  <si>
    <t>Large 
Bore</t>
  </si>
  <si>
    <t>Small 
Bore</t>
  </si>
  <si>
    <t>Bore 
Length</t>
  </si>
  <si>
    <t>Threaded 
Nut</t>
  </si>
  <si>
    <t>Type</t>
  </si>
  <si>
    <t>100100145.dat</t>
  </si>
  <si>
    <t>T-Bushings</t>
  </si>
  <si>
    <t>65mm/45mmD X 25.4mmB X 35mmL Aluminum T-Bushing</t>
  </si>
  <si>
    <t>QI2</t>
  </si>
  <si>
    <t>TYPE IMPORT LOCATION</t>
  </si>
  <si>
    <t>DELIVERY IMPORT LOCATION</t>
  </si>
  <si>
    <t>QI2_Data</t>
  </si>
  <si>
    <t>100100149.dat</t>
  </si>
  <si>
    <t>F4</t>
  </si>
  <si>
    <t>QI2_Inputs</t>
  </si>
  <si>
    <t>E22</t>
  </si>
  <si>
    <t>BB9</t>
  </si>
  <si>
    <t>Threaded Nut</t>
  </si>
  <si>
    <t>LARGEDIAMETER</t>
  </si>
  <si>
    <t>SMALLDIAMETER</t>
  </si>
  <si>
    <t>T-Bushing</t>
  </si>
  <si>
    <t>E16</t>
  </si>
  <si>
    <t>Error</t>
  </si>
  <si>
    <t>THREADEDNUT</t>
  </si>
  <si>
    <t>G14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</si>
</sst>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;[Red]\-&quot;$&quot;#,##0.00"/>
    <numFmt numFmtId="44" formatCode="_-&quot;$&quot;* #,##0.00_-;\-&quot;$&quot;* #,##0.00_-;_-&quot;$&quot;* &quot;-&quot;??_-;_-@_-"/>
    <numFmt numFmtId="164" formatCode="0.00&quot;mm&quot;"/>
    <numFmt numFmtId="165" formatCode="0.0000"/>
    <numFmt numFmtId="166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rgb="FFFF0000"/>
      <name val="Calibri"/>
      <family val="2"/>
      <scheme val="minor"/>
    </font>
    <font>
      <sz val="2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4" fontId="0" fillId="0" borderId="0" xfId="0" applyNumberFormat="1"/>
    <xf numFmtId="0" fontId="3" fillId="2" borderId="3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9" fontId="3" fillId="2" borderId="4" xfId="2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1" fontId="0" fillId="2" borderId="4" xfId="0" applyNumberFormat="1" applyFill="1" applyBorder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right"/>
    </xf>
    <xf numFmtId="0" fontId="9" fillId="4" borderId="0" xfId="0" applyFont="1" applyFill="1" applyAlignment="1">
      <alignment horizontal="left"/>
    </xf>
    <xf numFmtId="0" fontId="0" fillId="5" borderId="4" xfId="0" applyFill="1" applyBorder="1" applyAlignment="1">
      <alignment horizontal="left"/>
    </xf>
    <xf numFmtId="0" fontId="2" fillId="0" borderId="0" xfId="0" applyFont="1"/>
    <xf numFmtId="9" fontId="0" fillId="0" borderId="0" xfId="0" applyNumberFormat="1"/>
    <xf numFmtId="14" fontId="0" fillId="5" borderId="4" xfId="0" applyNumberFormat="1" applyFill="1" applyBorder="1" applyAlignment="1">
      <alignment horizontal="left"/>
    </xf>
    <xf numFmtId="0" fontId="0" fillId="6" borderId="0" xfId="0" applyFill="1"/>
    <xf numFmtId="0" fontId="0" fillId="0" borderId="0" xfId="0" applyAlignment="1">
      <alignment horizontal="left"/>
    </xf>
    <xf numFmtId="8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166" fontId="0" fillId="0" borderId="0" xfId="0" applyNumberFormat="1"/>
    <xf numFmtId="166" fontId="0" fillId="0" borderId="0" xfId="1" applyNumberFormat="1" applyFont="1"/>
    <xf numFmtId="44" fontId="11" fillId="0" borderId="0" xfId="1" applyFont="1" applyAlignment="1">
      <alignment horizontal="righ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4" fontId="8" fillId="0" borderId="0" xfId="1" applyFont="1" applyAlignment="1">
      <alignment horizontal="center"/>
    </xf>
    <xf numFmtId="44" fontId="0" fillId="0" borderId="0" xfId="1" applyFont="1"/>
    <xf numFmtId="0" fontId="9" fillId="4" borderId="0" xfId="0" applyFont="1" applyFill="1" applyAlignment="1">
      <alignment horizontal="left"/>
    </xf>
    <xf numFmtId="0" fontId="0" fillId="0" borderId="0" xfId="0" applyAlignment="1">
      <alignment horizontal="right"/>
    </xf>
    <xf numFmtId="0" fontId="10" fillId="0" borderId="0" xfId="0" applyFont="1" applyAlignment="1">
      <alignment horizontal="right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4" fillId="2" borderId="4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4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right" vertical="top"/>
    </xf>
    <xf numFmtId="44" fontId="8" fillId="0" borderId="4" xfId="1" applyFont="1" applyBorder="1" applyAlignment="1">
      <alignment horizontal="center" vertical="top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876300</xdr:colOff>
      <xdr:row>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958" y="19050"/>
          <a:ext cx="6589392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T-Bushings</a:t>
          </a:r>
        </a:p>
      </xdr:txBody>
    </xdr:sp>
    <xdr:clientData/>
  </xdr:twoCellAnchor>
  <xdr:twoCellAnchor editAs="oneCell">
    <xdr:from>
      <xdr:col>6</xdr:col>
      <xdr:colOff>19229</xdr:colOff>
      <xdr:row>14</xdr:row>
      <xdr:rowOff>4210</xdr:rowOff>
    </xdr:from>
    <xdr:to>
      <xdr:col>6</xdr:col>
      <xdr:colOff>817068</xdr:colOff>
      <xdr:row>16</xdr:row>
      <xdr:rowOff>133201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297003" y="3403586"/>
          <a:ext cx="509991" cy="797839"/>
        </a:xfrm>
        <a:prstGeom prst="rect">
          <a:avLst/>
        </a:prstGeom>
      </xdr:spPr>
    </xdr:pic>
    <xdr:clientData/>
  </xdr:twoCellAnchor>
  <xdr:twoCellAnchor editAs="oneCell">
    <xdr:from>
      <xdr:col>1</xdr:col>
      <xdr:colOff>262890</xdr:colOff>
      <xdr:row>1</xdr:row>
      <xdr:rowOff>104774</xdr:rowOff>
    </xdr:from>
    <xdr:to>
      <xdr:col>3</xdr:col>
      <xdr:colOff>349774</xdr:colOff>
      <xdr:row>7</xdr:row>
      <xdr:rowOff>632460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779" b="6608"/>
        <a:stretch/>
      </xdr:blipFill>
      <xdr:spPr>
        <a:xfrm>
          <a:off x="948690" y="295274"/>
          <a:ext cx="1477534" cy="1537336"/>
        </a:xfrm>
        <a:prstGeom prst="rect">
          <a:avLst/>
        </a:prstGeom>
      </xdr:spPr>
    </xdr:pic>
    <xdr:clientData/>
  </xdr:twoCellAnchor>
  <xdr:twoCellAnchor editAs="oneCell">
    <xdr:from>
      <xdr:col>3</xdr:col>
      <xdr:colOff>293370</xdr:colOff>
      <xdr:row>1</xdr:row>
      <xdr:rowOff>228600</xdr:rowOff>
    </xdr:from>
    <xdr:to>
      <xdr:col>9</xdr:col>
      <xdr:colOff>333375</xdr:colOff>
      <xdr:row>7</xdr:row>
      <xdr:rowOff>640080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69820" y="419100"/>
          <a:ext cx="4573905" cy="1954530"/>
        </a:xfrm>
        <a:prstGeom prst="rect">
          <a:avLst/>
        </a:prstGeom>
      </xdr:spPr>
    </xdr:pic>
    <xdr:clientData/>
  </xdr:twoCellAnchor>
  <xdr:twoCellAnchor>
    <xdr:from>
      <xdr:col>5</xdr:col>
      <xdr:colOff>617142</xdr:colOff>
      <xdr:row>22</xdr:row>
      <xdr:rowOff>304800</xdr:rowOff>
    </xdr:from>
    <xdr:to>
      <xdr:col>8</xdr:col>
      <xdr:colOff>744414</xdr:colOff>
      <xdr:row>23</xdr:row>
      <xdr:rowOff>391600</xdr:rowOff>
    </xdr:to>
    <xdr:sp macro="[1]!QI_BTN_ADD_ITEM_TO_QUOTE" textlink="">
      <xdr:nvSpPr>
        <xdr:cNvPr id="6" name="BTN_ADD_ITEM_TO_QUOT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46142" y="5410200"/>
          <a:ext cx="2460897" cy="420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602973</xdr:colOff>
      <xdr:row>22</xdr:row>
      <xdr:rowOff>304800</xdr:rowOff>
    </xdr:from>
    <xdr:to>
      <xdr:col>5</xdr:col>
      <xdr:colOff>98982</xdr:colOff>
      <xdr:row>23</xdr:row>
      <xdr:rowOff>391600</xdr:rowOff>
    </xdr:to>
    <xdr:sp macro="[1]!QI_CANCEL_BACK_TO_QUOTE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88773" y="5410200"/>
          <a:ext cx="2239209" cy="420175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xdr:twoCellAnchor>
    <xdr:from>
      <xdr:col>9</xdr:col>
      <xdr:colOff>165652</xdr:colOff>
      <xdr:row>21</xdr:row>
      <xdr:rowOff>99390</xdr:rowOff>
    </xdr:from>
    <xdr:to>
      <xdr:col>13</xdr:col>
      <xdr:colOff>298648</xdr:colOff>
      <xdr:row>24</xdr:row>
      <xdr:rowOff>22718</xdr:rowOff>
    </xdr:to>
    <xdr:sp macro="[1]!QI_BTN_SAVE_AS_PDF" textlink="">
      <xdr:nvSpPr>
        <xdr:cNvPr id="8" name="BTN_FINALQUOTE_SAVE_AS_PD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776002" y="5014290"/>
          <a:ext cx="2542821" cy="875828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Save as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4</xdr:row>
          <xdr:rowOff>104775</xdr:rowOff>
        </xdr:from>
        <xdr:to>
          <xdr:col>9</xdr:col>
          <xdr:colOff>552450</xdr:colOff>
          <xdr:row>9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show microsoft account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%20Campbell\Documents\John%20Coding%20projects\excel\sales%20stuff\QM%202023%2002%2007%20(version%201)%20-%20Copy.xlsm" TargetMode="External"/><Relationship Id="rId1" Type="http://schemas.openxmlformats.org/officeDocument/2006/relationships/externalLinkPath" Target="/Users/John%20Campbell/Documents/John%20Coding%20projects/excel/sales%20stuff/QM%202023%2002%2007%20(version%201)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"/>
      <sheetName val="LOGIN"/>
      <sheetName val="QUOTES"/>
      <sheetName val="CUSTOMERS"/>
      <sheetName val="ITEMS"/>
      <sheetName val="FINALQUOTE"/>
      <sheetName val="Variables"/>
      <sheetName val="TABLES"/>
      <sheetName val="QI1_Data"/>
      <sheetName val="QI1_Inputs"/>
      <sheetName val="QI2_Inputs"/>
      <sheetName val="QI2_Data"/>
      <sheetName val="QI3_Inputs"/>
      <sheetName val="QI3_Data"/>
      <sheetName val="QI4_Inputs"/>
      <sheetName val="QI4_Data"/>
      <sheetName val="QI5_Inputs"/>
      <sheetName val="QI5_Data"/>
      <sheetName val="QM 2023 02 07 (version 1) - Cop"/>
    </sheetNames>
    <definedNames>
      <definedName name="QI_BTN_ADD_ITEM_TO_QUOTE"/>
      <definedName name="QI_BTN_SAVE_AS_PDF"/>
      <definedName name="QI_CANCEL_BACK_TO_QUO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2CE1C-6927-4884-A757-6B8F51AB8DB5}">
  <sheetPr codeName="Sheet1"/>
  <dimension ref="A1:BG46"/>
  <sheetViews>
    <sheetView topLeftCell="A14" workbookViewId="0">
      <selection activeCell="BA31" sqref="BA31"/>
    </sheetView>
  </sheetViews>
  <sheetFormatPr defaultRowHeight="15" x14ac:dyDescent="0.25"/>
  <cols>
    <col min="1" max="1" width="30.42578125" bestFit="1" customWidth="1"/>
    <col min="2" max="2" width="11.28515625" bestFit="1" customWidth="1"/>
    <col min="3" max="3" width="21.140625" bestFit="1" customWidth="1"/>
    <col min="4" max="4" width="8.28515625" bestFit="1" customWidth="1"/>
    <col min="5" max="5" width="17.7109375" bestFit="1" customWidth="1"/>
    <col min="6" max="6" width="9.7109375" bestFit="1" customWidth="1"/>
    <col min="8" max="8" width="1.5703125" bestFit="1" customWidth="1"/>
    <col min="9" max="52" width="1.5703125" hidden="1" customWidth="1"/>
    <col min="53" max="53" width="27.28515625" bestFit="1" customWidth="1"/>
    <col min="54" max="54" width="15.28515625" bestFit="1" customWidth="1"/>
    <col min="55" max="55" width="12.7109375" bestFit="1" customWidth="1"/>
    <col min="56" max="56" width="48.7109375" bestFit="1" customWidth="1"/>
    <col min="57" max="57" width="22.7109375" bestFit="1" customWidth="1"/>
    <col min="58" max="58" width="20.140625" bestFit="1" customWidth="1"/>
  </cols>
  <sheetData>
    <row r="1" spans="1:59" ht="23.25" x14ac:dyDescent="0.35">
      <c r="A1" s="38" t="s">
        <v>27</v>
      </c>
      <c r="B1" s="38"/>
      <c r="C1" s="38"/>
      <c r="D1" s="38"/>
      <c r="E1" s="38"/>
      <c r="F1" s="38"/>
      <c r="G1" s="38"/>
      <c r="H1" t="s">
        <v>28</v>
      </c>
      <c r="I1" t="s">
        <v>28</v>
      </c>
      <c r="J1" t="s">
        <v>28</v>
      </c>
      <c r="K1" t="s">
        <v>28</v>
      </c>
      <c r="L1" t="s">
        <v>28</v>
      </c>
      <c r="M1" t="s">
        <v>28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  <c r="T1" t="s">
        <v>28</v>
      </c>
      <c r="U1" t="s">
        <v>28</v>
      </c>
      <c r="V1" t="s">
        <v>28</v>
      </c>
      <c r="W1" t="s">
        <v>28</v>
      </c>
      <c r="X1" t="s">
        <v>28</v>
      </c>
      <c r="Y1" t="s">
        <v>28</v>
      </c>
      <c r="Z1" t="s">
        <v>28</v>
      </c>
      <c r="AA1" t="s">
        <v>28</v>
      </c>
      <c r="AB1" t="s">
        <v>28</v>
      </c>
      <c r="AC1" t="s">
        <v>28</v>
      </c>
      <c r="AD1" t="s">
        <v>28</v>
      </c>
      <c r="AE1" t="s">
        <v>28</v>
      </c>
      <c r="AF1" t="s">
        <v>28</v>
      </c>
      <c r="AG1" t="s">
        <v>28</v>
      </c>
      <c r="AH1" t="s">
        <v>28</v>
      </c>
      <c r="AI1" t="s">
        <v>28</v>
      </c>
      <c r="AJ1" t="s">
        <v>28</v>
      </c>
      <c r="AK1" t="s">
        <v>28</v>
      </c>
      <c r="AL1" t="s">
        <v>28</v>
      </c>
      <c r="AM1" t="s">
        <v>28</v>
      </c>
      <c r="AN1" t="s">
        <v>28</v>
      </c>
      <c r="AO1" t="s">
        <v>28</v>
      </c>
      <c r="AP1" t="s">
        <v>28</v>
      </c>
      <c r="AQ1" t="s">
        <v>28</v>
      </c>
      <c r="AR1" t="s">
        <v>28</v>
      </c>
      <c r="AS1" t="s">
        <v>28</v>
      </c>
      <c r="AT1" t="s">
        <v>28</v>
      </c>
      <c r="AU1" t="s">
        <v>28</v>
      </c>
      <c r="AV1" t="s">
        <v>28</v>
      </c>
      <c r="AW1" t="s">
        <v>28</v>
      </c>
      <c r="AX1" t="s">
        <v>28</v>
      </c>
      <c r="AY1" t="s">
        <v>28</v>
      </c>
      <c r="AZ1" t="s">
        <v>28</v>
      </c>
      <c r="BA1" s="38" t="s">
        <v>29</v>
      </c>
      <c r="BB1" s="38"/>
      <c r="BC1" s="38"/>
      <c r="BD1" s="38"/>
      <c r="BE1" s="38"/>
      <c r="BF1" s="38"/>
      <c r="BG1" s="38"/>
    </row>
    <row r="2" spans="1:59" x14ac:dyDescent="0.25">
      <c r="AB2">
        <v>100100145</v>
      </c>
      <c r="BA2" t="s">
        <v>30</v>
      </c>
      <c r="BB2" s="22"/>
    </row>
    <row r="3" spans="1:59" x14ac:dyDescent="0.25">
      <c r="A3" s="23"/>
      <c r="B3" s="23" t="s">
        <v>31</v>
      </c>
      <c r="C3" s="23" t="s">
        <v>32</v>
      </c>
      <c r="D3" s="23" t="s">
        <v>33</v>
      </c>
      <c r="E3" s="23" t="s">
        <v>34</v>
      </c>
      <c r="F3" s="23" t="s">
        <v>134</v>
      </c>
      <c r="AB3" t="s">
        <v>135</v>
      </c>
      <c r="BA3" t="s">
        <v>35</v>
      </c>
      <c r="BB3" s="22"/>
    </row>
    <row r="4" spans="1:59" x14ac:dyDescent="0.25">
      <c r="B4" t="s">
        <v>19</v>
      </c>
      <c r="C4" t="s">
        <v>19</v>
      </c>
      <c r="D4" s="24">
        <v>0</v>
      </c>
      <c r="E4">
        <v>10</v>
      </c>
      <c r="F4" t="s">
        <v>136</v>
      </c>
      <c r="AB4" s="3">
        <v>44991</v>
      </c>
      <c r="BA4" t="s">
        <v>36</v>
      </c>
      <c r="BB4" s="25">
        <v>44992</v>
      </c>
    </row>
    <row r="5" spans="1:59" x14ac:dyDescent="0.25">
      <c r="B5" t="s">
        <v>52</v>
      </c>
      <c r="C5" t="s">
        <v>8</v>
      </c>
      <c r="D5" s="24">
        <v>0.05</v>
      </c>
      <c r="BA5" t="s">
        <v>37</v>
      </c>
      <c r="BB5" s="22" t="s">
        <v>137</v>
      </c>
    </row>
    <row r="6" spans="1:59" x14ac:dyDescent="0.25">
      <c r="B6" t="s">
        <v>38</v>
      </c>
      <c r="C6" t="s">
        <v>23</v>
      </c>
      <c r="D6" s="24">
        <v>0.1</v>
      </c>
      <c r="AB6" t="s">
        <v>138</v>
      </c>
      <c r="BA6" t="s">
        <v>39</v>
      </c>
      <c r="BB6" s="22" t="s">
        <v>138</v>
      </c>
    </row>
    <row r="7" spans="1:59" x14ac:dyDescent="0.25">
      <c r="D7" s="24">
        <v>0.15</v>
      </c>
      <c r="BA7" t="s">
        <v>40</v>
      </c>
      <c r="BB7" s="22">
        <v>110.47499999999999</v>
      </c>
    </row>
    <row r="8" spans="1:59" x14ac:dyDescent="0.25">
      <c r="D8" s="24">
        <v>0.2</v>
      </c>
      <c r="BA8" t="s">
        <v>139</v>
      </c>
      <c r="BB8" s="22" t="s">
        <v>136</v>
      </c>
    </row>
    <row r="9" spans="1:59" x14ac:dyDescent="0.25">
      <c r="D9" s="24">
        <v>0.25</v>
      </c>
      <c r="BA9" t="s">
        <v>140</v>
      </c>
      <c r="BB9" s="22">
        <v>10</v>
      </c>
    </row>
    <row r="10" spans="1:59" x14ac:dyDescent="0.25">
      <c r="D10" s="24">
        <v>0.3</v>
      </c>
    </row>
    <row r="11" spans="1:59" x14ac:dyDescent="0.25">
      <c r="D11" s="24">
        <v>0.35</v>
      </c>
    </row>
    <row r="13" spans="1:59" ht="23.25" x14ac:dyDescent="0.35">
      <c r="BA13" s="38" t="s">
        <v>42</v>
      </c>
      <c r="BB13" s="38"/>
      <c r="BC13" s="38"/>
      <c r="BD13" s="38"/>
      <c r="BE13" s="38"/>
      <c r="BF13" s="38"/>
      <c r="BG13" s="38"/>
    </row>
    <row r="14" spans="1:59" ht="23.25" x14ac:dyDescent="0.35">
      <c r="A14" s="38" t="s">
        <v>41</v>
      </c>
      <c r="B14" s="38"/>
      <c r="C14" s="38"/>
      <c r="D14" s="38"/>
      <c r="E14" s="38"/>
      <c r="F14" s="38"/>
      <c r="G14" s="38"/>
      <c r="BA14" s="26" t="s">
        <v>43</v>
      </c>
      <c r="BB14" s="26" t="s">
        <v>44</v>
      </c>
      <c r="BC14" s="26" t="s">
        <v>45</v>
      </c>
      <c r="BD14" s="26" t="s">
        <v>46</v>
      </c>
      <c r="BE14" s="26" t="s">
        <v>47</v>
      </c>
      <c r="BF14" s="26" t="s">
        <v>48</v>
      </c>
    </row>
    <row r="15" spans="1:59" x14ac:dyDescent="0.25">
      <c r="BA15" t="s">
        <v>30</v>
      </c>
      <c r="BB15" t="s">
        <v>141</v>
      </c>
      <c r="BC15" t="s">
        <v>50</v>
      </c>
      <c r="BD15" s="27">
        <v>100100149</v>
      </c>
      <c r="BE15" t="s">
        <v>141</v>
      </c>
      <c r="BF15" t="s">
        <v>50</v>
      </c>
    </row>
    <row r="16" spans="1:59" x14ac:dyDescent="0.25">
      <c r="A16" s="23" t="s">
        <v>49</v>
      </c>
      <c r="B16" s="37"/>
      <c r="BA16" t="s">
        <v>35</v>
      </c>
      <c r="BB16" t="s">
        <v>141</v>
      </c>
      <c r="BC16" t="s">
        <v>51</v>
      </c>
      <c r="BD16" s="27" t="s">
        <v>142</v>
      </c>
      <c r="BE16" t="s">
        <v>141</v>
      </c>
      <c r="BF16" t="s">
        <v>51</v>
      </c>
    </row>
    <row r="17" spans="1:58" x14ac:dyDescent="0.25">
      <c r="A17" s="23" t="s">
        <v>19</v>
      </c>
      <c r="B17" s="37">
        <v>-10000</v>
      </c>
      <c r="F17" s="28">
        <f>IF(A18=QI2_Inputs!$F$14,QI2_Data!B18,0)</f>
        <v>0</v>
      </c>
      <c r="BA17" t="s">
        <v>39</v>
      </c>
      <c r="BB17" t="s">
        <v>141</v>
      </c>
      <c r="BC17" t="s">
        <v>54</v>
      </c>
      <c r="BD17" s="27" t="s">
        <v>138</v>
      </c>
      <c r="BE17" t="s">
        <v>141</v>
      </c>
      <c r="BF17" t="s">
        <v>54</v>
      </c>
    </row>
    <row r="18" spans="1:58" x14ac:dyDescent="0.25">
      <c r="A18" t="s">
        <v>52</v>
      </c>
      <c r="B18" s="28">
        <v>20</v>
      </c>
      <c r="C18" t="s">
        <v>53</v>
      </c>
      <c r="F18" s="28">
        <f>IF(A19=QI2_Inputs!$F$14,QI2_Data!B19,0)</f>
        <v>35</v>
      </c>
      <c r="BA18" t="s">
        <v>36</v>
      </c>
      <c r="BB18" t="s">
        <v>141</v>
      </c>
      <c r="BC18" t="s">
        <v>55</v>
      </c>
      <c r="BD18" s="29">
        <v>44992</v>
      </c>
      <c r="BE18" t="s">
        <v>141</v>
      </c>
      <c r="BF18" t="s">
        <v>55</v>
      </c>
    </row>
    <row r="19" spans="1:58" x14ac:dyDescent="0.25">
      <c r="A19" t="s">
        <v>38</v>
      </c>
      <c r="B19" s="28">
        <v>35</v>
      </c>
      <c r="C19" t="s">
        <v>53</v>
      </c>
      <c r="F19" s="28">
        <f>IF(A19=QI2_Inputs!$F$14,QI2_Data!B19,0)</f>
        <v>35</v>
      </c>
      <c r="BA19" t="s">
        <v>58</v>
      </c>
      <c r="BB19" t="s">
        <v>141</v>
      </c>
      <c r="BC19" t="s">
        <v>143</v>
      </c>
      <c r="BD19" s="27" t="s">
        <v>136</v>
      </c>
      <c r="BE19" t="s">
        <v>141</v>
      </c>
      <c r="BF19" t="s">
        <v>69</v>
      </c>
    </row>
    <row r="20" spans="1:58" x14ac:dyDescent="0.25">
      <c r="A20" t="s">
        <v>56</v>
      </c>
      <c r="B20" s="30">
        <f>QI2_Inputs!B16*QI2_Inputs!D16</f>
        <v>2666.9999999999995</v>
      </c>
      <c r="C20" t="s">
        <v>57</v>
      </c>
      <c r="D20">
        <v>0.01</v>
      </c>
      <c r="F20" s="28">
        <f>IF((D20*B20)&gt;0,D20*B20,-10000)</f>
        <v>26.669999999999995</v>
      </c>
      <c r="BA20" t="s">
        <v>60</v>
      </c>
      <c r="BB20" t="s">
        <v>144</v>
      </c>
      <c r="BC20" t="s">
        <v>61</v>
      </c>
      <c r="BD20" s="27">
        <v>123456</v>
      </c>
      <c r="BE20" t="s">
        <v>144</v>
      </c>
      <c r="BF20" t="s">
        <v>61</v>
      </c>
    </row>
    <row r="21" spans="1:58" x14ac:dyDescent="0.25">
      <c r="A21" s="23" t="s">
        <v>59</v>
      </c>
      <c r="BA21" t="s">
        <v>64</v>
      </c>
      <c r="BB21" t="s">
        <v>144</v>
      </c>
      <c r="BC21" t="s">
        <v>145</v>
      </c>
      <c r="BD21" s="27" t="str">
        <f>QI2_Inputs!E22</f>
        <v>76.2mm/101.6mmD X 25.4mmB X 35mmL Aluminum T-Bushing</v>
      </c>
      <c r="BE21" t="s">
        <v>141</v>
      </c>
      <c r="BF21" t="s">
        <v>65</v>
      </c>
    </row>
    <row r="22" spans="1:58" x14ac:dyDescent="0.25">
      <c r="A22" t="s">
        <v>62</v>
      </c>
      <c r="B22" s="28">
        <v>30</v>
      </c>
      <c r="C22" t="s">
        <v>63</v>
      </c>
      <c r="F22" s="31">
        <v>30</v>
      </c>
      <c r="BA22" t="s">
        <v>67</v>
      </c>
      <c r="BB22" t="s">
        <v>141</v>
      </c>
      <c r="BC22" t="s">
        <v>68</v>
      </c>
      <c r="BD22" s="27">
        <v>10</v>
      </c>
      <c r="BE22" t="s">
        <v>141</v>
      </c>
      <c r="BF22" t="s">
        <v>146</v>
      </c>
    </row>
    <row r="23" spans="1:58" x14ac:dyDescent="0.25">
      <c r="A23" t="s">
        <v>66</v>
      </c>
      <c r="B23" s="28">
        <v>15</v>
      </c>
      <c r="C23" t="s">
        <v>71</v>
      </c>
      <c r="F23" s="32">
        <f>IF(QI2_Inputs!C19&gt;0,15+((QI2_Inputs!C19-1)*5),0)</f>
        <v>15</v>
      </c>
      <c r="BA23" t="s">
        <v>72</v>
      </c>
      <c r="BB23" t="s">
        <v>144</v>
      </c>
      <c r="BC23" t="s">
        <v>73</v>
      </c>
      <c r="BD23" s="27">
        <f>QI2_Inputs!I10</f>
        <v>1</v>
      </c>
      <c r="BE23" t="s">
        <v>144</v>
      </c>
      <c r="BF23" t="s">
        <v>73</v>
      </c>
    </row>
    <row r="24" spans="1:58" x14ac:dyDescent="0.25">
      <c r="A24" t="s">
        <v>70</v>
      </c>
      <c r="B24" s="28">
        <v>10</v>
      </c>
      <c r="C24" t="s">
        <v>71</v>
      </c>
      <c r="F24" s="32">
        <f>IF(QI2_Inputs!C19&gt;0,15+((QI2_Inputs!C19-1)*5),0)</f>
        <v>15</v>
      </c>
      <c r="BA24" t="s">
        <v>74</v>
      </c>
      <c r="BB24" t="s">
        <v>144</v>
      </c>
      <c r="BC24" t="s">
        <v>75</v>
      </c>
      <c r="BD24" s="27">
        <v>110.47499999999999</v>
      </c>
      <c r="BE24" t="s">
        <v>141</v>
      </c>
      <c r="BF24" t="s">
        <v>76</v>
      </c>
    </row>
    <row r="25" spans="1:58" x14ac:dyDescent="0.25">
      <c r="A25" t="s">
        <v>77</v>
      </c>
      <c r="B25" s="28">
        <v>30</v>
      </c>
      <c r="F25" s="32">
        <f>IF(QI2_Inputs!$G$19="Yes",QI2_Data!B25,0)</f>
        <v>0</v>
      </c>
      <c r="BA25" t="s">
        <v>78</v>
      </c>
      <c r="BB25" t="s">
        <v>144</v>
      </c>
      <c r="BC25" t="s">
        <v>79</v>
      </c>
      <c r="BD25" s="27"/>
      <c r="BE25" t="s">
        <v>144</v>
      </c>
      <c r="BF25" t="s">
        <v>79</v>
      </c>
    </row>
    <row r="26" spans="1:58" x14ac:dyDescent="0.25">
      <c r="A26" t="s">
        <v>147</v>
      </c>
      <c r="B26" s="28">
        <v>40</v>
      </c>
      <c r="F26" s="32">
        <f>IF(QI2_Inputs!$G$14="Yes",QI2_Data!B26,0)</f>
        <v>0</v>
      </c>
      <c r="BA26" t="s">
        <v>81</v>
      </c>
      <c r="BB26" t="s">
        <v>144</v>
      </c>
      <c r="BC26" t="s">
        <v>82</v>
      </c>
      <c r="BD26" s="27">
        <f>QI2_Inputs!I11</f>
        <v>0.05</v>
      </c>
      <c r="BE26" t="s">
        <v>144</v>
      </c>
      <c r="BF26" t="s">
        <v>82</v>
      </c>
    </row>
    <row r="27" spans="1:58" x14ac:dyDescent="0.25">
      <c r="A27" t="s">
        <v>80</v>
      </c>
      <c r="B27" s="28">
        <v>40</v>
      </c>
      <c r="F27" s="32">
        <f>IF(QI2_Inputs!$C$21="Yes",QI2_Data!B27,0)</f>
        <v>40</v>
      </c>
      <c r="BA27" t="s">
        <v>148</v>
      </c>
      <c r="BB27" t="s">
        <v>144</v>
      </c>
      <c r="BC27" t="s">
        <v>84</v>
      </c>
      <c r="BD27" s="27">
        <v>65</v>
      </c>
      <c r="BE27" t="s">
        <v>144</v>
      </c>
      <c r="BF27" t="s">
        <v>85</v>
      </c>
    </row>
    <row r="28" spans="1:58" x14ac:dyDescent="0.25">
      <c r="A28" s="23" t="s">
        <v>83</v>
      </c>
      <c r="B28" s="28"/>
      <c r="BA28" t="s">
        <v>149</v>
      </c>
      <c r="BB28" t="s">
        <v>144</v>
      </c>
      <c r="BC28" t="s">
        <v>87</v>
      </c>
      <c r="BD28" s="27">
        <v>45</v>
      </c>
      <c r="BE28" t="s">
        <v>144</v>
      </c>
      <c r="BF28" t="s">
        <v>88</v>
      </c>
    </row>
    <row r="29" spans="1:58" x14ac:dyDescent="0.25">
      <c r="A29" t="s">
        <v>150</v>
      </c>
      <c r="B29" s="28">
        <v>40</v>
      </c>
      <c r="F29" s="32">
        <f>IF(A29=QI2_Inputs!$C$11,QI2_Data!B29,0)</f>
        <v>0</v>
      </c>
      <c r="BA29" t="s">
        <v>86</v>
      </c>
      <c r="BB29" t="s">
        <v>144</v>
      </c>
      <c r="BC29" t="s">
        <v>151</v>
      </c>
      <c r="BD29" s="27" t="s">
        <v>152</v>
      </c>
      <c r="BE29" t="s">
        <v>144</v>
      </c>
      <c r="BF29" t="s">
        <v>93</v>
      </c>
    </row>
    <row r="30" spans="1:58" x14ac:dyDescent="0.25">
      <c r="BA30" t="s">
        <v>89</v>
      </c>
      <c r="BB30" t="s">
        <v>144</v>
      </c>
      <c r="BC30" t="s">
        <v>90</v>
      </c>
      <c r="BD30" s="27">
        <f>QI2_Inputs!D16</f>
        <v>35</v>
      </c>
      <c r="BE30" t="s">
        <v>144</v>
      </c>
      <c r="BF30" t="s">
        <v>91</v>
      </c>
    </row>
    <row r="31" spans="1:58" x14ac:dyDescent="0.25">
      <c r="E31" t="s">
        <v>97</v>
      </c>
      <c r="F31" s="28">
        <f>SUM(F17:F29)</f>
        <v>196.67</v>
      </c>
      <c r="BA31" t="s">
        <v>92</v>
      </c>
      <c r="BB31" t="s">
        <v>144</v>
      </c>
      <c r="BC31" t="s">
        <v>94</v>
      </c>
      <c r="BD31" s="27" t="str">
        <f>QI2_Inputs!F14</f>
        <v>Aluminum</v>
      </c>
      <c r="BE31" t="s">
        <v>144</v>
      </c>
      <c r="BF31" t="s">
        <v>94</v>
      </c>
    </row>
    <row r="32" spans="1:58" x14ac:dyDescent="0.25">
      <c r="C32" s="39" t="s">
        <v>100</v>
      </c>
      <c r="D32" s="39"/>
      <c r="E32" s="39"/>
      <c r="F32">
        <v>1</v>
      </c>
      <c r="BA32" t="s">
        <v>153</v>
      </c>
      <c r="BB32" t="s">
        <v>144</v>
      </c>
      <c r="BC32" t="s">
        <v>154</v>
      </c>
      <c r="BD32" s="27" t="str">
        <f>QI2_Inputs!G14</f>
        <v>No</v>
      </c>
      <c r="BE32" t="s">
        <v>144</v>
      </c>
      <c r="BF32" t="s">
        <v>154</v>
      </c>
    </row>
    <row r="33" spans="1:58" x14ac:dyDescent="0.25">
      <c r="BA33" t="s">
        <v>95</v>
      </c>
      <c r="BB33" t="s">
        <v>144</v>
      </c>
      <c r="BC33" t="s">
        <v>96</v>
      </c>
      <c r="BD33" s="35">
        <f>QI2_Inputs!C19</f>
        <v>1</v>
      </c>
      <c r="BE33" t="s">
        <v>144</v>
      </c>
      <c r="BF33" t="s">
        <v>96</v>
      </c>
    </row>
    <row r="34" spans="1:58" ht="23.25" x14ac:dyDescent="0.35">
      <c r="A34" s="21" t="s">
        <v>105</v>
      </c>
      <c r="B34" s="21"/>
      <c r="C34" s="21"/>
      <c r="D34" s="21"/>
      <c r="E34" s="21"/>
      <c r="F34" s="21"/>
      <c r="G34" s="21"/>
      <c r="BA34" t="s">
        <v>98</v>
      </c>
      <c r="BB34" t="s">
        <v>144</v>
      </c>
      <c r="BC34" t="s">
        <v>99</v>
      </c>
      <c r="BD34" s="27">
        <f>QI2_Inputs!D19</f>
        <v>0</v>
      </c>
      <c r="BE34" t="s">
        <v>144</v>
      </c>
      <c r="BF34" t="s">
        <v>99</v>
      </c>
    </row>
    <row r="35" spans="1:58" x14ac:dyDescent="0.25">
      <c r="BA35" t="s">
        <v>101</v>
      </c>
      <c r="BB35" t="s">
        <v>144</v>
      </c>
      <c r="BC35" t="s">
        <v>102</v>
      </c>
      <c r="BD35" s="27">
        <f>QI2_Inputs!E19</f>
        <v>0</v>
      </c>
      <c r="BE35" t="s">
        <v>144</v>
      </c>
      <c r="BF35" t="s">
        <v>102</v>
      </c>
    </row>
    <row r="36" spans="1:58" x14ac:dyDescent="0.25">
      <c r="A36">
        <v>0</v>
      </c>
      <c r="B36" t="s">
        <v>110</v>
      </c>
      <c r="E36">
        <f>IF(QI2_Inputs!$I$10=QI2_Data!A36,QI2_Data!B36,0)</f>
        <v>0</v>
      </c>
      <c r="BA36" t="s">
        <v>103</v>
      </c>
      <c r="BB36" t="s">
        <v>144</v>
      </c>
      <c r="BC36" t="s">
        <v>104</v>
      </c>
      <c r="BD36" s="35">
        <f>QI2_Inputs!C20</f>
        <v>1</v>
      </c>
      <c r="BE36" t="s">
        <v>144</v>
      </c>
      <c r="BF36" t="s">
        <v>104</v>
      </c>
    </row>
    <row r="37" spans="1:58" x14ac:dyDescent="0.25">
      <c r="A37">
        <v>1</v>
      </c>
      <c r="B37" s="28">
        <f>F31*F32*D37</f>
        <v>186.83649999999997</v>
      </c>
      <c r="C37" t="s">
        <v>113</v>
      </c>
      <c r="D37">
        <f>1-QI2_Inputs!I11</f>
        <v>0.95</v>
      </c>
      <c r="E37">
        <f>IF(QI2_Inputs!$I$10=QI2_Data!A37,QI2_Data!B37,0)</f>
        <v>186.83649999999997</v>
      </c>
      <c r="BA37" t="s">
        <v>106</v>
      </c>
      <c r="BB37" t="s">
        <v>144</v>
      </c>
      <c r="BC37" t="s">
        <v>107</v>
      </c>
      <c r="BD37" s="27">
        <f>QI2_Inputs!D20</f>
        <v>0</v>
      </c>
      <c r="BE37" t="s">
        <v>144</v>
      </c>
      <c r="BF37" t="s">
        <v>107</v>
      </c>
    </row>
    <row r="38" spans="1:58" x14ac:dyDescent="0.25">
      <c r="A38">
        <v>2</v>
      </c>
      <c r="B38" s="28">
        <f t="shared" ref="B38:B43" si="0">$B$37*D38</f>
        <v>181.23140499999997</v>
      </c>
      <c r="C38" t="s">
        <v>116</v>
      </c>
      <c r="D38">
        <v>0.97</v>
      </c>
      <c r="E38">
        <f>IF(QI2_Inputs!$I$10=QI2_Data!A38,QI2_Data!B38,0)</f>
        <v>0</v>
      </c>
      <c r="BA38" t="s">
        <v>108</v>
      </c>
      <c r="BB38" t="s">
        <v>144</v>
      </c>
      <c r="BC38" t="s">
        <v>109</v>
      </c>
      <c r="BD38" s="27">
        <f>QI2_Inputs!E20</f>
        <v>0</v>
      </c>
      <c r="BE38" t="s">
        <v>144</v>
      </c>
      <c r="BF38" t="s">
        <v>109</v>
      </c>
    </row>
    <row r="39" spans="1:58" x14ac:dyDescent="0.25">
      <c r="A39">
        <v>3</v>
      </c>
      <c r="B39" s="28">
        <f t="shared" si="0"/>
        <v>177.49467499999997</v>
      </c>
      <c r="C39" t="s">
        <v>119</v>
      </c>
      <c r="D39">
        <v>0.95</v>
      </c>
      <c r="E39">
        <f>IF(AND(QI2_Inputs!$I$10&gt;=QI2_Data!A39,QI2_Inputs!$I$10&lt;5),QI2_Data!B39,0)</f>
        <v>0</v>
      </c>
      <c r="BA39" t="s">
        <v>111</v>
      </c>
      <c r="BB39" t="s">
        <v>144</v>
      </c>
      <c r="BC39" t="s">
        <v>112</v>
      </c>
      <c r="BD39" s="34" t="str">
        <f>QI2_Inputs!C21</f>
        <v>Yes</v>
      </c>
      <c r="BE39" t="s">
        <v>144</v>
      </c>
      <c r="BF39" t="s">
        <v>112</v>
      </c>
    </row>
    <row r="40" spans="1:58" x14ac:dyDescent="0.25">
      <c r="A40">
        <v>5</v>
      </c>
      <c r="B40" s="28">
        <f t="shared" si="0"/>
        <v>168.15284999999997</v>
      </c>
      <c r="C40" t="s">
        <v>122</v>
      </c>
      <c r="D40">
        <v>0.9</v>
      </c>
      <c r="E40">
        <f>IF(AND(QI2_Inputs!$I$10&gt;=QI2_Data!A39,QI2_Inputs!$I$10&lt;5),QI2_Data!B39,0)</f>
        <v>0</v>
      </c>
      <c r="BA40" t="s">
        <v>114</v>
      </c>
      <c r="BB40" t="s">
        <v>144</v>
      </c>
      <c r="BC40" t="s">
        <v>115</v>
      </c>
      <c r="BD40" s="27" t="str">
        <f>QI2_Inputs!G19</f>
        <v>No</v>
      </c>
      <c r="BE40" t="s">
        <v>144</v>
      </c>
      <c r="BF40" t="s">
        <v>115</v>
      </c>
    </row>
    <row r="41" spans="1:58" x14ac:dyDescent="0.25">
      <c r="A41">
        <v>10</v>
      </c>
      <c r="B41" s="28">
        <f t="shared" si="0"/>
        <v>158.81102499999997</v>
      </c>
      <c r="C41" t="s">
        <v>125</v>
      </c>
      <c r="D41">
        <v>0.85</v>
      </c>
      <c r="E41">
        <f>IF(AND(QI2_Inputs!$I$10&gt;=QI2_Data!A40,QI2_Inputs!$I$10&lt;10),QI2_Data!B40,0)</f>
        <v>0</v>
      </c>
      <c r="BA41" t="s">
        <v>117</v>
      </c>
      <c r="BB41" t="s">
        <v>144</v>
      </c>
      <c r="BC41" t="s">
        <v>118</v>
      </c>
      <c r="BD41" s="27">
        <f>QI2_Inputs!H19</f>
        <v>1</v>
      </c>
      <c r="BE41" t="s">
        <v>144</v>
      </c>
      <c r="BF41" t="s">
        <v>118</v>
      </c>
    </row>
    <row r="42" spans="1:58" x14ac:dyDescent="0.25">
      <c r="A42">
        <v>25</v>
      </c>
      <c r="B42" s="28">
        <f t="shared" si="0"/>
        <v>149.46919999999997</v>
      </c>
      <c r="C42" t="s">
        <v>126</v>
      </c>
      <c r="D42">
        <v>0.8</v>
      </c>
      <c r="E42">
        <f>IF(AND(QI2_Inputs!$I$10&gt;=QI2_Data!A42,QI2_Inputs!$I$10&lt;50),QI2_Data!B42,0)</f>
        <v>0</v>
      </c>
      <c r="BA42" t="s">
        <v>120</v>
      </c>
      <c r="BB42" t="s">
        <v>144</v>
      </c>
      <c r="BC42" t="s">
        <v>121</v>
      </c>
      <c r="BD42" s="27">
        <f>QI2_Inputs!I19</f>
        <v>1</v>
      </c>
      <c r="BE42" t="s">
        <v>144</v>
      </c>
      <c r="BF42" t="s">
        <v>121</v>
      </c>
    </row>
    <row r="43" spans="1:58" x14ac:dyDescent="0.25">
      <c r="A43">
        <v>50</v>
      </c>
      <c r="B43" s="28">
        <f t="shared" si="0"/>
        <v>145.73246999999998</v>
      </c>
      <c r="C43" t="s">
        <v>127</v>
      </c>
      <c r="D43">
        <v>0.78</v>
      </c>
      <c r="E43">
        <f>IF(QI2_Inputs!$I$10&gt;=QI2_Data!A43,QI2_Data!B43,0)</f>
        <v>0</v>
      </c>
      <c r="BA43" t="s">
        <v>123</v>
      </c>
      <c r="BB43" t="s">
        <v>144</v>
      </c>
      <c r="BC43" t="s">
        <v>124</v>
      </c>
      <c r="BD43" s="27">
        <f>QI2_Inputs!B25</f>
        <v>0</v>
      </c>
      <c r="BE43" t="s">
        <v>144</v>
      </c>
      <c r="BF43" t="s">
        <v>124</v>
      </c>
    </row>
    <row r="44" spans="1:58" ht="28.5" x14ac:dyDescent="0.45">
      <c r="B44" s="28"/>
      <c r="C44" s="40" t="s">
        <v>128</v>
      </c>
      <c r="D44" s="40"/>
      <c r="E44" s="33">
        <f>SUM(E37:E43)</f>
        <v>186.83649999999997</v>
      </c>
      <c r="F44" s="8"/>
    </row>
    <row r="46" spans="1:58" ht="23.25" x14ac:dyDescent="0.35">
      <c r="A46" s="38" t="s">
        <v>129</v>
      </c>
      <c r="B46" s="38"/>
      <c r="C46" s="38"/>
      <c r="D46" s="38"/>
      <c r="E46" s="38"/>
      <c r="F46" s="38"/>
      <c r="G46" s="38"/>
    </row>
  </sheetData>
  <mergeCells count="7">
    <mergeCell ref="A46:G46"/>
    <mergeCell ref="A1:G1"/>
    <mergeCell ref="BA1:BG1"/>
    <mergeCell ref="BA13:BG13"/>
    <mergeCell ref="A14:G14"/>
    <mergeCell ref="C32:E32"/>
    <mergeCell ref="C44:D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35A4D-F62F-4ED7-BC8F-5562050876C6}">
  <sheetPr codeName="Sheet2"/>
  <dimension ref="A2:I39"/>
  <sheetViews>
    <sheetView tabSelected="1" workbookViewId="0">
      <selection activeCell="I11" sqref="I11"/>
    </sheetView>
  </sheetViews>
  <sheetFormatPr defaultRowHeight="15" x14ac:dyDescent="0.25"/>
  <cols>
    <col min="1" max="1" width="10.28515625" bestFit="1" customWidth="1"/>
    <col min="2" max="2" width="10.140625" customWidth="1"/>
    <col min="3" max="3" width="10.7109375" bestFit="1" customWidth="1"/>
    <col min="4" max="5" width="10.140625" customWidth="1"/>
    <col min="6" max="6" width="10.5703125" customWidth="1"/>
    <col min="7" max="7" width="12.7109375" customWidth="1"/>
    <col min="8" max="8" width="11.7109375" customWidth="1"/>
    <col min="9" max="9" width="12.7109375" customWidth="1"/>
    <col min="10" max="10" width="8.7109375" customWidth="1"/>
  </cols>
  <sheetData>
    <row r="2" spans="1:9" ht="20.45" customHeight="1" x14ac:dyDescent="0.25"/>
    <row r="3" spans="1:9" ht="20.45" customHeight="1" x14ac:dyDescent="0.25"/>
    <row r="4" spans="1:9" ht="20.45" customHeight="1" x14ac:dyDescent="0.25"/>
    <row r="5" spans="1:9" ht="20.45" customHeight="1" x14ac:dyDescent="0.25"/>
    <row r="6" spans="1:9" ht="20.45" customHeight="1" x14ac:dyDescent="0.25"/>
    <row r="7" spans="1:9" ht="20.45" customHeight="1" x14ac:dyDescent="0.25"/>
    <row r="8" spans="1:9" ht="69.75" customHeight="1" x14ac:dyDescent="0.25"/>
    <row r="9" spans="1:9" ht="22.5" customHeight="1" x14ac:dyDescent="0.35">
      <c r="B9" s="1" t="s">
        <v>0</v>
      </c>
      <c r="C9" s="50">
        <v>1212</v>
      </c>
      <c r="D9" s="51"/>
      <c r="E9" s="51"/>
      <c r="F9" s="51"/>
      <c r="H9" s="2" t="s">
        <v>1</v>
      </c>
      <c r="I9" s="3">
        <f ca="1">TODAY()</f>
        <v>45194</v>
      </c>
    </row>
    <row r="10" spans="1:9" ht="21" x14ac:dyDescent="0.35">
      <c r="B10" s="1" t="s">
        <v>2</v>
      </c>
      <c r="C10" s="50"/>
      <c r="D10" s="51"/>
      <c r="E10" s="51"/>
      <c r="F10" s="51"/>
      <c r="H10" s="1" t="s">
        <v>3</v>
      </c>
      <c r="I10" s="4">
        <v>1</v>
      </c>
    </row>
    <row r="11" spans="1:9" ht="21" x14ac:dyDescent="0.35">
      <c r="B11" s="1"/>
      <c r="C11" s="52"/>
      <c r="D11" s="52"/>
      <c r="E11" s="5" t="str">
        <f>IF(C11="T-Bushing","** Price is for 1pc not a set","")</f>
        <v/>
      </c>
      <c r="F11" s="6"/>
      <c r="G11" s="6"/>
      <c r="H11" s="1" t="s">
        <v>4</v>
      </c>
      <c r="I11" s="7">
        <v>0.05</v>
      </c>
    </row>
    <row r="13" spans="1:9" ht="30" x14ac:dyDescent="0.25">
      <c r="A13" s="8"/>
      <c r="B13" s="9" t="s">
        <v>130</v>
      </c>
      <c r="C13" s="9" t="s">
        <v>131</v>
      </c>
      <c r="D13" s="9" t="s">
        <v>5</v>
      </c>
      <c r="E13" s="9" t="s">
        <v>132</v>
      </c>
      <c r="F13" s="10" t="s">
        <v>6</v>
      </c>
      <c r="G13" s="9" t="s">
        <v>133</v>
      </c>
    </row>
    <row r="14" spans="1:9" x14ac:dyDescent="0.25">
      <c r="A14" s="2" t="s">
        <v>7</v>
      </c>
      <c r="B14" s="11"/>
      <c r="C14" s="11"/>
      <c r="D14" s="11">
        <v>35</v>
      </c>
      <c r="E14" s="11">
        <v>25.4</v>
      </c>
      <c r="F14" s="12" t="s">
        <v>38</v>
      </c>
      <c r="G14" s="13" t="s">
        <v>23</v>
      </c>
    </row>
    <row r="15" spans="1:9" x14ac:dyDescent="0.25">
      <c r="A15" s="2" t="s">
        <v>9</v>
      </c>
      <c r="B15" s="14">
        <v>3</v>
      </c>
      <c r="C15" s="15">
        <v>4</v>
      </c>
      <c r="D15" s="15"/>
      <c r="E15" s="15"/>
    </row>
    <row r="16" spans="1:9" x14ac:dyDescent="0.25">
      <c r="A16" s="2" t="s">
        <v>10</v>
      </c>
      <c r="B16" s="16">
        <f>IF(B14&gt;0,IF(B15&gt;0,"Error",B14),B15*25.4)</f>
        <v>76.199999999999989</v>
      </c>
      <c r="C16" s="16">
        <f>IF(C14&gt;0,IF(C15&gt;0,"Error",C14),C15*25.4)</f>
        <v>101.6</v>
      </c>
      <c r="D16" s="16">
        <f>IF(D14&gt;0,IF(D15&gt;0,"Error",D14),D15*25.4)</f>
        <v>35</v>
      </c>
      <c r="E16" s="16">
        <f>IF(E14&gt;0,IF(E15&gt;0,"Error",E14),E15*25.4)</f>
        <v>25.4</v>
      </c>
    </row>
    <row r="17" spans="1:9" ht="18" customHeight="1" x14ac:dyDescent="0.25"/>
    <row r="18" spans="1:9" x14ac:dyDescent="0.25">
      <c r="C18" s="17" t="s">
        <v>11</v>
      </c>
      <c r="D18" s="17" t="s">
        <v>12</v>
      </c>
      <c r="E18" s="17" t="s">
        <v>13</v>
      </c>
      <c r="G18" s="17" t="s">
        <v>14</v>
      </c>
      <c r="H18" s="17" t="s">
        <v>15</v>
      </c>
      <c r="I18" s="17" t="s">
        <v>16</v>
      </c>
    </row>
    <row r="19" spans="1:9" x14ac:dyDescent="0.25">
      <c r="B19" s="2" t="s">
        <v>17</v>
      </c>
      <c r="C19" s="18">
        <v>1</v>
      </c>
      <c r="D19" s="13"/>
      <c r="E19" s="12"/>
      <c r="F19" s="2" t="s">
        <v>18</v>
      </c>
      <c r="G19" s="13" t="s">
        <v>23</v>
      </c>
      <c r="H19" s="13">
        <v>1</v>
      </c>
      <c r="I19" s="13">
        <v>1</v>
      </c>
    </row>
    <row r="20" spans="1:9" x14ac:dyDescent="0.25">
      <c r="B20" s="2" t="s">
        <v>20</v>
      </c>
      <c r="C20" s="18">
        <v>1</v>
      </c>
      <c r="D20" s="13"/>
      <c r="E20" s="13"/>
      <c r="G20" t="s">
        <v>21</v>
      </c>
    </row>
    <row r="21" spans="1:9" x14ac:dyDescent="0.25">
      <c r="B21" s="2" t="s">
        <v>22</v>
      </c>
      <c r="C21" s="15" t="s">
        <v>8</v>
      </c>
      <c r="D21" s="19" t="s">
        <v>24</v>
      </c>
    </row>
    <row r="22" spans="1:9" ht="19.5" customHeight="1" x14ac:dyDescent="0.25">
      <c r="B22" s="2"/>
      <c r="E22" s="53" t="str">
        <f>B16 &amp; "mm/" &amp; C16 &amp; "mmD X " &amp;E16 &amp; "mmB X " &amp; D16 &amp; "mmL " &amp;F14 &amp; " T-Bushing"</f>
        <v>76.2mm/101.6mmD X 25.4mmB X 35mmL Aluminum T-Bushing</v>
      </c>
      <c r="F22" s="53"/>
      <c r="G22" s="53"/>
      <c r="H22" s="53"/>
      <c r="I22" s="53"/>
    </row>
    <row r="23" spans="1:9" ht="30" customHeight="1" x14ac:dyDescent="0.25">
      <c r="E23" s="54" t="s">
        <v>25</v>
      </c>
      <c r="F23" s="54"/>
      <c r="G23" s="55">
        <f>IF(QI2_Data!E44&gt;0,QI2_Data!E44*(1-I12),"Error")</f>
        <v>186.83649999999997</v>
      </c>
      <c r="H23" s="55"/>
      <c r="I23" s="55"/>
    </row>
    <row r="24" spans="1:9" ht="32.25" customHeight="1" thickBot="1" x14ac:dyDescent="0.45">
      <c r="E24" s="20"/>
      <c r="F24" s="20"/>
      <c r="G24" s="36"/>
      <c r="H24" s="36"/>
      <c r="I24" s="36"/>
    </row>
    <row r="25" spans="1:9" ht="21" x14ac:dyDescent="0.35">
      <c r="A25" s="1" t="s">
        <v>26</v>
      </c>
      <c r="B25" s="41"/>
      <c r="C25" s="42"/>
      <c r="D25" s="42"/>
      <c r="E25" s="42"/>
      <c r="F25" s="42"/>
      <c r="G25" s="42"/>
      <c r="H25" s="42"/>
      <c r="I25" s="43"/>
    </row>
    <row r="26" spans="1:9" x14ac:dyDescent="0.25">
      <c r="B26" s="44"/>
      <c r="C26" s="45"/>
      <c r="D26" s="45"/>
      <c r="E26" s="45"/>
      <c r="F26" s="45"/>
      <c r="G26" s="45"/>
      <c r="H26" s="45"/>
      <c r="I26" s="46"/>
    </row>
    <row r="27" spans="1:9" x14ac:dyDescent="0.25">
      <c r="B27" s="44"/>
      <c r="C27" s="45"/>
      <c r="D27" s="45"/>
      <c r="E27" s="45"/>
      <c r="F27" s="45"/>
      <c r="G27" s="45"/>
      <c r="H27" s="45"/>
      <c r="I27" s="46"/>
    </row>
    <row r="28" spans="1:9" x14ac:dyDescent="0.25">
      <c r="B28" s="44"/>
      <c r="C28" s="45"/>
      <c r="D28" s="45"/>
      <c r="E28" s="45"/>
      <c r="F28" s="45"/>
      <c r="G28" s="45"/>
      <c r="H28" s="45"/>
      <c r="I28" s="46"/>
    </row>
    <row r="29" spans="1:9" x14ac:dyDescent="0.25">
      <c r="B29" s="44"/>
      <c r="C29" s="45"/>
      <c r="D29" s="45"/>
      <c r="E29" s="45"/>
      <c r="F29" s="45"/>
      <c r="G29" s="45"/>
      <c r="H29" s="45"/>
      <c r="I29" s="46"/>
    </row>
    <row r="30" spans="1:9" x14ac:dyDescent="0.25">
      <c r="B30" s="44"/>
      <c r="C30" s="45"/>
      <c r="D30" s="45"/>
      <c r="E30" s="45"/>
      <c r="F30" s="45"/>
      <c r="G30" s="45"/>
      <c r="H30" s="45"/>
      <c r="I30" s="46"/>
    </row>
    <row r="31" spans="1:9" x14ac:dyDescent="0.25">
      <c r="B31" s="44"/>
      <c r="C31" s="45"/>
      <c r="D31" s="45"/>
      <c r="E31" s="45"/>
      <c r="F31" s="45"/>
      <c r="G31" s="45"/>
      <c r="H31" s="45"/>
      <c r="I31" s="46"/>
    </row>
    <row r="32" spans="1:9" x14ac:dyDescent="0.25">
      <c r="B32" s="44"/>
      <c r="C32" s="45"/>
      <c r="D32" s="45"/>
      <c r="E32" s="45"/>
      <c r="F32" s="45"/>
      <c r="G32" s="45"/>
      <c r="H32" s="45"/>
      <c r="I32" s="46"/>
    </row>
    <row r="33" spans="2:9" x14ac:dyDescent="0.25">
      <c r="B33" s="44"/>
      <c r="C33" s="45"/>
      <c r="D33" s="45"/>
      <c r="E33" s="45"/>
      <c r="F33" s="45"/>
      <c r="G33" s="45"/>
      <c r="H33" s="45"/>
      <c r="I33" s="46"/>
    </row>
    <row r="34" spans="2:9" x14ac:dyDescent="0.25">
      <c r="B34" s="44"/>
      <c r="C34" s="45"/>
      <c r="D34" s="45"/>
      <c r="E34" s="45"/>
      <c r="F34" s="45"/>
      <c r="G34" s="45"/>
      <c r="H34" s="45"/>
      <c r="I34" s="46"/>
    </row>
    <row r="35" spans="2:9" x14ac:dyDescent="0.25">
      <c r="B35" s="44"/>
      <c r="C35" s="45"/>
      <c r="D35" s="45"/>
      <c r="E35" s="45"/>
      <c r="F35" s="45"/>
      <c r="G35" s="45"/>
      <c r="H35" s="45"/>
      <c r="I35" s="46"/>
    </row>
    <row r="36" spans="2:9" x14ac:dyDescent="0.25">
      <c r="B36" s="44"/>
      <c r="C36" s="45"/>
      <c r="D36" s="45"/>
      <c r="E36" s="45"/>
      <c r="F36" s="45"/>
      <c r="G36" s="45"/>
      <c r="H36" s="45"/>
      <c r="I36" s="46"/>
    </row>
    <row r="37" spans="2:9" x14ac:dyDescent="0.25">
      <c r="B37" s="44"/>
      <c r="C37" s="45"/>
      <c r="D37" s="45"/>
      <c r="E37" s="45"/>
      <c r="F37" s="45"/>
      <c r="G37" s="45"/>
      <c r="H37" s="45"/>
      <c r="I37" s="46"/>
    </row>
    <row r="38" spans="2:9" x14ac:dyDescent="0.25">
      <c r="B38" s="44"/>
      <c r="C38" s="45"/>
      <c r="D38" s="45"/>
      <c r="E38" s="45"/>
      <c r="F38" s="45"/>
      <c r="G38" s="45"/>
      <c r="H38" s="45"/>
      <c r="I38" s="46"/>
    </row>
    <row r="39" spans="2:9" ht="15.75" thickBot="1" x14ac:dyDescent="0.3">
      <c r="B39" s="47"/>
      <c r="C39" s="48"/>
      <c r="D39" s="48"/>
      <c r="E39" s="48"/>
      <c r="F39" s="48"/>
      <c r="G39" s="48"/>
      <c r="H39" s="48"/>
      <c r="I39" s="49"/>
    </row>
  </sheetData>
  <mergeCells count="7">
    <mergeCell ref="B25:I39"/>
    <mergeCell ref="C9:F9"/>
    <mergeCell ref="C10:F10"/>
    <mergeCell ref="C11:D11"/>
    <mergeCell ref="E22:I22"/>
    <mergeCell ref="E23:F23"/>
    <mergeCell ref="G23:I23"/>
  </mergeCells>
  <dataValidations count="8">
    <dataValidation type="whole" allowBlank="1" showInputMessage="1" showErrorMessage="1" errorTitle="Over Qty " error="Please contact Production for Pricing and Lead time _x000a_" sqref="I10" xr:uid="{EE41B04B-72F1-4C09-8D61-38F894B6205B}">
      <formula1>0</formula1>
      <formula2>100</formula2>
    </dataValidation>
    <dataValidation type="decimal" allowBlank="1" showInputMessage="1" showErrorMessage="1" errorTitle="Bore too Large or too Small " error="The Diameter you have entered is either too large or too small of a bore size. " sqref="B14" xr:uid="{402081B2-9454-4DFE-96FB-8AF470ABC4D9}">
      <formula1>16</formula1>
      <formula2>250</formula2>
    </dataValidation>
    <dataValidation type="decimal" allowBlank="1" showInputMessage="1" showErrorMessage="1" errorTitle="Bore too large or too small " error="The diameter you have entered for the Bore is either too Large or too small " sqref="B15" xr:uid="{EC8A2273-A3B8-4FDA-9FCD-DC8C36795502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37EF3E5-BA11-4587-A506-352E68BA25E3}">
      <formula1>12</formula1>
      <formula2>200</formula2>
    </dataValidation>
    <dataValidation type="decimal" allowBlank="1" showInputMessage="1" showErrorMessage="1" errorTitle="Bore too large or too small" error="Ther bore size you have entered is either too large or too small. " sqref="C15" xr:uid="{9D757651-546B-4750-8310-D865C07CDAD4}">
      <formula1>0.5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:E14" xr:uid="{05922F7D-AB75-4C84-AFF3-3C48CD98325D}">
      <formula1>2</formula1>
      <formula2>250</formula2>
    </dataValidation>
    <dataValidation type="decimal" allowBlank="1" showInputMessage="1" showErrorMessage="1" errorTitle="Overall length too long or short" error="The overall length of the tool you selected is either tool long or too short. " sqref="D15:E15" xr:uid="{2153BCE7-E426-4F9F-A153-2277C42A40B4}">
      <formula1>0.062</formula1>
      <formula2>10</formula2>
    </dataValidation>
    <dataValidation type="whole" allowBlank="1" showInputMessage="1" showErrorMessage="1" sqref="C19:C20" xr:uid="{92968F2A-8AA3-42CE-A09C-8D2F22E4D680}">
      <formula1>0</formula1>
      <formula2>12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8BE498-1847-4387-80C6-3419DDBCEC7A}">
          <x14:formula1>
            <xm:f>QI2_Data!$D$4:$D$11</xm:f>
          </x14:formula1>
          <xm:sqref>I11</xm:sqref>
        </x14:dataValidation>
        <x14:dataValidation type="list" allowBlank="1" showInputMessage="1" showErrorMessage="1" xr:uid="{8A1B3927-7792-4B62-BEFC-558E80AC3F71}">
          <x14:formula1>
            <xm:f>QI2_Data!$C$4:$C$6</xm:f>
          </x14:formula1>
          <xm:sqref>G14 G19 C21</xm:sqref>
        </x14:dataValidation>
        <x14:dataValidation type="list" allowBlank="1" showInputMessage="1" showErrorMessage="1" xr:uid="{058F1C88-0344-4C94-93A8-14616F3EE790}">
          <x14:formula1>
            <xm:f>QI2_Data!$B$4:$B$6</xm:f>
          </x14:formula1>
          <xm:sqref>F14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07457-6639-4ABD-96D1-1B64EA841C48}">
  <sheetPr codeName="Sheet3"/>
  <dimension ref="A1"/>
  <sheetViews>
    <sheetView workbookViewId="0">
      <selection activeCell="B8" sqref="B8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MicrosoftAccountName">
                <anchor moveWithCells="1" sizeWithCells="1">
                  <from>
                    <xdr:col>4</xdr:col>
                    <xdr:colOff>95250</xdr:colOff>
                    <xdr:row>4</xdr:row>
                    <xdr:rowOff>104775</xdr:rowOff>
                  </from>
                  <to>
                    <xdr:col>9</xdr:col>
                    <xdr:colOff>552450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QI2_Data</vt:lpstr>
      <vt:lpstr>QI2_Inputs</vt:lpstr>
      <vt:lpstr>UserNameTest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 Campbell</dc:creator>
  <cp:lastModifiedBy>John  Campbell</cp:lastModifiedBy>
  <dcterms:created xsi:type="dcterms:W3CDTF">2023-09-22T20:09:13Z</dcterms:created>
  <dcterms:modified xsi:type="dcterms:W3CDTF">2023-09-25T13:23:17Z</dcterms:modified>
</cp:coreProperties>
</file>