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Campbell\Documents\John Coding projects\sales something or other\sales nw\"/>
    </mc:Choice>
  </mc:AlternateContent>
  <xr:revisionPtr revIDLastSave="0" documentId="13_ncr:1_{4D1D4889-28A4-4E54-9BDB-7B76D9B2CAB2}" xr6:coauthVersionLast="47" xr6:coauthVersionMax="47" xr10:uidLastSave="{00000000-0000-0000-0000-000000000000}"/>
  <bookViews>
    <workbookView xWindow="-120" yWindow="-120" windowWidth="29040" windowHeight="15720" xr2:uid="{732C3581-20AF-4184-9A07-B609BAF4C102}"/>
  </bookViews>
  <sheets>
    <sheet name="Bushings" sheetId="1" r:id="rId1"/>
    <sheet name="T-bushings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10" i="1"/>
  <c r="BE4" i="3" l="1"/>
  <c r="BL9" i="3"/>
  <c r="BL8" i="3"/>
  <c r="BL7" i="3"/>
  <c r="BL6" i="3"/>
  <c r="BL5" i="3"/>
  <c r="BL4" i="3"/>
  <c r="BL3" i="3"/>
  <c r="BI8" i="3"/>
  <c r="BE11" i="3"/>
  <c r="BE16" i="3"/>
  <c r="BE14" i="3"/>
  <c r="BE13" i="3"/>
  <c r="BE12" i="3"/>
  <c r="BE10" i="3"/>
  <c r="BA7" i="3"/>
  <c r="BE7" i="3" s="1"/>
  <c r="BE5" i="3" l="1"/>
  <c r="BE6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5" i="3"/>
  <c r="AU16" i="3"/>
  <c r="AU14" i="3"/>
  <c r="BK4" i="3" s="1"/>
  <c r="AU11" i="3"/>
  <c r="BE18" i="3" l="1"/>
  <c r="BI4" i="3" s="1"/>
  <c r="BI6" i="3" s="1"/>
  <c r="BI10" i="3" l="1"/>
  <c r="BL10" i="3" s="1"/>
  <c r="BL11" i="3" s="1"/>
  <c r="G23" i="3" s="1"/>
  <c r="AU12" i="3" s="1"/>
  <c r="BI9" i="3"/>
  <c r="BI5" i="3"/>
  <c r="BI7" i="3"/>
  <c r="AR17" i="1"/>
  <c r="AR18" i="1"/>
  <c r="AY9" i="1"/>
  <c r="AY8" i="1"/>
  <c r="AY6" i="1"/>
  <c r="AY5" i="1"/>
  <c r="AY4" i="1"/>
  <c r="AY3" i="1"/>
  <c r="AR19" i="1"/>
  <c r="AR14" i="1"/>
  <c r="AR13" i="1"/>
  <c r="AR12" i="1"/>
  <c r="AR6" i="1" l="1"/>
  <c r="AG30" i="1"/>
  <c r="AG29" i="1"/>
  <c r="AG28" i="1"/>
  <c r="AG27" i="1"/>
  <c r="AG26" i="1"/>
  <c r="AG25" i="1"/>
  <c r="AG24" i="1"/>
  <c r="AG23" i="1"/>
  <c r="AG22" i="1"/>
  <c r="AG21" i="1"/>
  <c r="AG20" i="1"/>
  <c r="AR10" i="1" s="1"/>
  <c r="AG19" i="1"/>
  <c r="AG18" i="1"/>
  <c r="AG14" i="1"/>
  <c r="AX4" i="1" s="1"/>
  <c r="AG11" i="1"/>
  <c r="AG7" i="1"/>
  <c r="C10" i="1"/>
  <c r="C9" i="1"/>
  <c r="AR16" i="1" l="1"/>
  <c r="AR11" i="1"/>
  <c r="AR5" i="1"/>
  <c r="AR4" i="1"/>
  <c r="E16" i="3"/>
  <c r="D16" i="3"/>
  <c r="C16" i="3"/>
  <c r="B16" i="3"/>
  <c r="E11" i="3"/>
  <c r="I9" i="3"/>
  <c r="E22" i="3" l="1"/>
  <c r="AU9" i="3" s="1"/>
  <c r="B16" i="1"/>
  <c r="AG15" i="1" s="1"/>
  <c r="D16" i="1" l="1"/>
  <c r="C16" i="1"/>
  <c r="E11" i="1"/>
  <c r="I9" i="1"/>
  <c r="AG16" i="1" l="1"/>
  <c r="AN7" i="1"/>
  <c r="AR7" i="1" s="1"/>
  <c r="AR21" i="1" s="1"/>
  <c r="AV4" i="1" s="1"/>
  <c r="AG17" i="1"/>
  <c r="F22" i="1"/>
  <c r="AV6" i="1" l="1"/>
  <c r="AV10" i="1"/>
  <c r="AY10" i="1" s="1"/>
  <c r="AV8" i="1"/>
  <c r="AV5" i="1"/>
  <c r="AV9" i="1"/>
  <c r="AV7" i="1"/>
  <c r="AY7" i="1" s="1"/>
  <c r="AG9" i="1"/>
  <c r="AY11" i="1" l="1"/>
  <c r="G23" i="1" l="1"/>
  <c r="AG12" i="1"/>
</calcChain>
</file>

<file path=xl/sharedStrings.xml><?xml version="1.0" encoding="utf-8"?>
<sst xmlns="http://schemas.openxmlformats.org/spreadsheetml/2006/main" count="406" uniqueCount="179">
  <si>
    <t>Drawing#:</t>
  </si>
  <si>
    <t>Date:</t>
  </si>
  <si>
    <t>Reference:</t>
  </si>
  <si>
    <t>Quantity:</t>
  </si>
  <si>
    <t>Type:</t>
  </si>
  <si>
    <t>Spacer</t>
  </si>
  <si>
    <t>Discount:</t>
  </si>
  <si>
    <t>Dia</t>
  </si>
  <si>
    <t>Bore</t>
  </si>
  <si>
    <t>OA 
Length</t>
  </si>
  <si>
    <t>Material</t>
  </si>
  <si>
    <t>Double 
Wall</t>
  </si>
  <si>
    <t>Metric:</t>
  </si>
  <si>
    <t>Steel</t>
  </si>
  <si>
    <t>Yes</t>
  </si>
  <si>
    <t>Imperial:</t>
  </si>
  <si>
    <t>Converted:</t>
  </si>
  <si>
    <t>Qty</t>
  </si>
  <si>
    <t>Dia / Thread</t>
  </si>
  <si>
    <t>Bolt Circle</t>
  </si>
  <si>
    <t>Yes No</t>
  </si>
  <si>
    <t>Width</t>
  </si>
  <si>
    <t>Depth</t>
  </si>
  <si>
    <t>Threaded  Holes:</t>
  </si>
  <si>
    <t>Keyway:</t>
  </si>
  <si>
    <t>-</t>
  </si>
  <si>
    <t>Pinholes:</t>
  </si>
  <si>
    <t>** 2 keyways always cut for Balance</t>
  </si>
  <si>
    <t>Suface Ground</t>
  </si>
  <si>
    <t>No</t>
  </si>
  <si>
    <t>For Tolerances Tighter Than + or - 0.0008" (0.020mm)</t>
  </si>
  <si>
    <t>Desc:</t>
  </si>
  <si>
    <t xml:space="preserve">NET PRICING </t>
  </si>
  <si>
    <t>NOTES:</t>
  </si>
  <si>
    <t>Data Validation Information</t>
  </si>
  <si>
    <t>QI SHEET INFORMATION</t>
  </si>
  <si>
    <t>QI_NUMBER</t>
  </si>
  <si>
    <t xml:space="preserve">Type: </t>
  </si>
  <si>
    <t>Material:</t>
  </si>
  <si>
    <t xml:space="preserve">Yes No </t>
  </si>
  <si>
    <t>Discount</t>
  </si>
  <si>
    <t>Delivery Days</t>
  </si>
  <si>
    <t>QI_FILENAME</t>
  </si>
  <si>
    <t>100100154.dat</t>
  </si>
  <si>
    <t>DATECREATED</t>
  </si>
  <si>
    <t>DESC IMPORT LOCATION</t>
  </si>
  <si>
    <t>80mm x 20mm x 15mm Aluminum Spacer</t>
  </si>
  <si>
    <t>Sleeve</t>
  </si>
  <si>
    <t>Aluminum</t>
  </si>
  <si>
    <t>QI1</t>
  </si>
  <si>
    <t>SHEETPREFIX</t>
  </si>
  <si>
    <t>Bushing</t>
  </si>
  <si>
    <t>PRICE EACH IMPORT LOCATION</t>
  </si>
  <si>
    <t>DELIERY IMPORT LOCATION</t>
  </si>
  <si>
    <t>Cost Breakdown</t>
  </si>
  <si>
    <t>QI EXPORT INFORMATION (FIRST NODE VALUE MUST BE AT LINE 15, COL HEADERS ON LINE 14</t>
  </si>
  <si>
    <t>NODE NAME</t>
  </si>
  <si>
    <t>SHEET LOCATION</t>
  </si>
  <si>
    <t>CELL ADDRESS</t>
  </si>
  <si>
    <t>VALUE</t>
  </si>
  <si>
    <t>IMPORT SHEET LOCATION</t>
  </si>
  <si>
    <t>IMPORT CELL ADDRESS</t>
  </si>
  <si>
    <t>Material Cost</t>
  </si>
  <si>
    <t>BB2</t>
  </si>
  <si>
    <t>BB3</t>
  </si>
  <si>
    <t xml:space="preserve">Steel </t>
  </si>
  <si>
    <t>Standard cost</t>
  </si>
  <si>
    <t>BB6</t>
  </si>
  <si>
    <t>BB4</t>
  </si>
  <si>
    <t>Volume Multipyer</t>
  </si>
  <si>
    <t>Lenth x Diameter</t>
  </si>
  <si>
    <t>TYPE</t>
  </si>
  <si>
    <t>C11</t>
  </si>
  <si>
    <t>Time</t>
  </si>
  <si>
    <t>DRAWINGNUMBER</t>
  </si>
  <si>
    <t>C9</t>
  </si>
  <si>
    <t>Turning Min</t>
  </si>
  <si>
    <t>Min Charge for parts</t>
  </si>
  <si>
    <t>DESCRIPTION</t>
  </si>
  <si>
    <t>G22</t>
  </si>
  <si>
    <t>BB5</t>
  </si>
  <si>
    <t xml:space="preserve">Threaded </t>
  </si>
  <si>
    <t>Min + $8 each additional</t>
  </si>
  <si>
    <t>DELIVERY</t>
  </si>
  <si>
    <t>E4</t>
  </si>
  <si>
    <t>BB8</t>
  </si>
  <si>
    <t>Pinholes</t>
  </si>
  <si>
    <t>Min + $5 each additional</t>
  </si>
  <si>
    <t>QUANTITY</t>
  </si>
  <si>
    <t>I10</t>
  </si>
  <si>
    <t xml:space="preserve">Double Wall </t>
  </si>
  <si>
    <t>PRICEEACH</t>
  </si>
  <si>
    <t>G23</t>
  </si>
  <si>
    <t>BB7</t>
  </si>
  <si>
    <t>Keyway</t>
  </si>
  <si>
    <t>REFERENCE</t>
  </si>
  <si>
    <t>C10</t>
  </si>
  <si>
    <t>Aggregate</t>
  </si>
  <si>
    <t>Surface Ground</t>
  </si>
  <si>
    <t>DISCOUNT</t>
  </si>
  <si>
    <t>I11</t>
  </si>
  <si>
    <t>Type Of Bushing Surcharges</t>
  </si>
  <si>
    <t>DIAMETER</t>
  </si>
  <si>
    <t>B16</t>
  </si>
  <si>
    <t>B14</t>
  </si>
  <si>
    <t>BORE</t>
  </si>
  <si>
    <t>C16</t>
  </si>
  <si>
    <t>C14</t>
  </si>
  <si>
    <t>LENGTH</t>
  </si>
  <si>
    <t>D16</t>
  </si>
  <si>
    <t>D14</t>
  </si>
  <si>
    <t>MATERIAL</t>
  </si>
  <si>
    <t>E14</t>
  </si>
  <si>
    <t>F14</t>
  </si>
  <si>
    <t>THREADEDHOLES_QTY</t>
  </si>
  <si>
    <t>C19</t>
  </si>
  <si>
    <t>List Price</t>
  </si>
  <si>
    <t>THREADEDHOLES_DIAMETER</t>
  </si>
  <si>
    <t>D19</t>
  </si>
  <si>
    <t>Multiplyer for Future Increases</t>
  </si>
  <si>
    <t>THREADEDHOLES_BOLTCIRCLE</t>
  </si>
  <si>
    <t>E19</t>
  </si>
  <si>
    <t>PINHOLES_QTY</t>
  </si>
  <si>
    <t>C20</t>
  </si>
  <si>
    <t>Quantity Breakdown</t>
  </si>
  <si>
    <t>PINHOLES_DIAMETER</t>
  </si>
  <si>
    <t>D20</t>
  </si>
  <si>
    <t>PINHOLES_BOLTCIRCLE</t>
  </si>
  <si>
    <t>E20</t>
  </si>
  <si>
    <t>Qty Error</t>
  </si>
  <si>
    <t>SURFACE_GROUND</t>
  </si>
  <si>
    <t>C21</t>
  </si>
  <si>
    <t xml:space="preserve">List from above </t>
  </si>
  <si>
    <t>KEYWAY_YES_NO</t>
  </si>
  <si>
    <t>G19</t>
  </si>
  <si>
    <t>Discounted 3%</t>
  </si>
  <si>
    <t>KEYWAY_WIDTH</t>
  </si>
  <si>
    <t>H19</t>
  </si>
  <si>
    <t>Discounted 5%</t>
  </si>
  <si>
    <t>KEYWAY_DEPTH</t>
  </si>
  <si>
    <t>I19</t>
  </si>
  <si>
    <t>Discounted 10%</t>
  </si>
  <si>
    <t>NOTES</t>
  </si>
  <si>
    <t>B25</t>
  </si>
  <si>
    <t>Discounted 15%</t>
  </si>
  <si>
    <t>Discounted 20%</t>
  </si>
  <si>
    <t>Discounted 22%</t>
  </si>
  <si>
    <t>Final Price</t>
  </si>
  <si>
    <t>Large 
Bore</t>
  </si>
  <si>
    <t>Small 
Bore</t>
  </si>
  <si>
    <t>Bore 
Length</t>
  </si>
  <si>
    <t>Threaded 
Nut</t>
  </si>
  <si>
    <t>Type</t>
  </si>
  <si>
    <t>T-Bushings</t>
  </si>
  <si>
    <t>65mm/45mmD X 25.4mmB X 35mmL Aluminum T-Bushing</t>
  </si>
  <si>
    <t>QI2</t>
  </si>
  <si>
    <t>TYPE IMPORT LOCATION</t>
  </si>
  <si>
    <t>DELIVERY IMPORT LOCATION</t>
  </si>
  <si>
    <t>QI2_Data</t>
  </si>
  <si>
    <t>100100149.dat</t>
  </si>
  <si>
    <t>F4</t>
  </si>
  <si>
    <t>QI2_Inputs</t>
  </si>
  <si>
    <t>E22</t>
  </si>
  <si>
    <t>BB9</t>
  </si>
  <si>
    <t>Threaded Nut</t>
  </si>
  <si>
    <t>LARGEDIAMETER</t>
  </si>
  <si>
    <t>SMALLDIAMETER</t>
  </si>
  <si>
    <t>T-Bushing</t>
  </si>
  <si>
    <t>E16</t>
  </si>
  <si>
    <t>Error</t>
  </si>
  <si>
    <t>THREADEDNUT</t>
  </si>
  <si>
    <t>G14</t>
  </si>
  <si>
    <t>Bushings</t>
  </si>
  <si>
    <t>R4</t>
  </si>
  <si>
    <t>X2</t>
  </si>
  <si>
    <t>X3</t>
  </si>
  <si>
    <t>X4</t>
  </si>
  <si>
    <t>X6</t>
  </si>
  <si>
    <t>DOUBLE_WALL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</si>
</sst>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164" formatCode="0.00&quot;mm&quot;"/>
    <numFmt numFmtId="165" formatCode="0.0000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0" fillId="0" borderId="0" xfId="0" applyNumberFormat="1"/>
    <xf numFmtId="0" fontId="3" fillId="2" borderId="4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9" fontId="3" fillId="2" borderId="5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0" fontId="9" fillId="4" borderId="0" xfId="0" applyFont="1" applyFill="1" applyAlignment="1">
      <alignment horizontal="left"/>
    </xf>
    <xf numFmtId="0" fontId="0" fillId="5" borderId="5" xfId="0" applyFill="1" applyBorder="1" applyAlignment="1">
      <alignment horizontal="left"/>
    </xf>
    <xf numFmtId="0" fontId="2" fillId="0" borderId="0" xfId="0" applyFont="1"/>
    <xf numFmtId="9" fontId="0" fillId="0" borderId="0" xfId="0" applyNumberFormat="1"/>
    <xf numFmtId="14" fontId="0" fillId="5" borderId="5" xfId="0" applyNumberForma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left"/>
    </xf>
    <xf numFmtId="8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6" fontId="0" fillId="0" borderId="0" xfId="0" applyNumberFormat="1"/>
    <xf numFmtId="166" fontId="0" fillId="0" borderId="0" xfId="1" applyNumberFormat="1" applyFont="1"/>
    <xf numFmtId="44" fontId="11" fillId="0" borderId="0" xfId="1" applyFont="1" applyAlignment="1">
      <alignment horizontal="righ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4" fontId="8" fillId="0" borderId="0" xfId="1" applyFont="1" applyAlignment="1">
      <alignment horizontal="center"/>
    </xf>
    <xf numFmtId="44" fontId="0" fillId="0" borderId="0" xfId="1" applyFont="1"/>
    <xf numFmtId="4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4" borderId="0" xfId="0" applyFont="1" applyFill="1" applyAlignment="1">
      <alignment horizontal="lef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4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7" fillId="0" borderId="0" xfId="0" applyFont="1" applyAlignment="1">
      <alignment horizontal="right"/>
    </xf>
    <xf numFmtId="0" fontId="7" fillId="0" borderId="14" xfId="0" applyFont="1" applyBorder="1" applyAlignment="1">
      <alignment horizontal="right"/>
    </xf>
    <xf numFmtId="44" fontId="8" fillId="0" borderId="7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44" fontId="8" fillId="0" borderId="9" xfId="1" applyFont="1" applyBorder="1" applyAlignment="1">
      <alignment horizontal="center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14" xfId="0" applyFont="1" applyBorder="1" applyAlignment="1">
      <alignment horizontal="left" vertical="top"/>
    </xf>
    <xf numFmtId="0" fontId="3" fillId="0" borderId="1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16" xfId="0" applyFont="1" applyBorder="1" applyAlignment="1">
      <alignment horizontal="left" vertical="top"/>
    </xf>
    <xf numFmtId="0" fontId="4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4" fillId="7" borderId="0" xfId="0" applyFont="1" applyFill="1" applyAlignment="1">
      <alignment horizontal="center"/>
    </xf>
    <xf numFmtId="0" fontId="7" fillId="0" borderId="0" xfId="0" applyFont="1" applyAlignment="1">
      <alignment horizontal="right" vertical="top"/>
    </xf>
    <xf numFmtId="44" fontId="8" fillId="0" borderId="5" xfId="1" applyFont="1" applyBorder="1" applyAlignment="1">
      <alignment horizontal="center" vertical="top"/>
    </xf>
  </cellXfs>
  <cellStyles count="4">
    <cellStyle name="Currency" xfId="1" builtinId="4"/>
    <cellStyle name="Currency 2" xfId="3" xr:uid="{ED744467-0526-4142-B6EE-B70C8E394284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732693</xdr:colOff>
      <xdr:row>1</xdr:row>
      <xdr:rowOff>209550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1298A3E-87AF-4F5B-99E4-54F2EE9E63DF}"/>
            </a:ext>
          </a:extLst>
        </xdr:cNvPr>
        <xdr:cNvSpPr txBox="1"/>
      </xdr:nvSpPr>
      <xdr:spPr>
        <a:xfrm>
          <a:off x="20958" y="19050"/>
          <a:ext cx="645531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SPACERS</a:t>
          </a:r>
          <a:r>
            <a:rPr lang="en-CA" sz="2400" b="1" baseline="0"/>
            <a:t>, BUSHINGS, SLEEVES</a:t>
          </a:r>
          <a:endParaRPr lang="en-CA" sz="2400" b="1"/>
        </a:p>
      </xdr:txBody>
    </xdr:sp>
    <xdr:clientData/>
  </xdr:twoCellAnchor>
  <xdr:twoCellAnchor editAs="oneCell">
    <xdr:from>
      <xdr:col>5</xdr:col>
      <xdr:colOff>42862</xdr:colOff>
      <xdr:row>14</xdr:row>
      <xdr:rowOff>8643</xdr:rowOff>
    </xdr:from>
    <xdr:to>
      <xdr:col>5</xdr:col>
      <xdr:colOff>781816</xdr:colOff>
      <xdr:row>17</xdr:row>
      <xdr:rowOff>58309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904C17-27C1-4E1B-9C35-5E4D56A0BD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858" t="30963"/>
        <a:stretch/>
      </xdr:blipFill>
      <xdr:spPr>
        <a:xfrm rot="5400000">
          <a:off x="6164626" y="3312488"/>
          <a:ext cx="621166" cy="738954"/>
        </a:xfrm>
        <a:prstGeom prst="rect">
          <a:avLst/>
        </a:prstGeom>
      </xdr:spPr>
    </xdr:pic>
    <xdr:clientData/>
  </xdr:twoCellAnchor>
  <xdr:twoCellAnchor editAs="oneCell">
    <xdr:from>
      <xdr:col>2</xdr:col>
      <xdr:colOff>327755</xdr:colOff>
      <xdr:row>1</xdr:row>
      <xdr:rowOff>185051</xdr:rowOff>
    </xdr:from>
    <xdr:to>
      <xdr:col>7</xdr:col>
      <xdr:colOff>285070</xdr:colOff>
      <xdr:row>6</xdr:row>
      <xdr:rowOff>1221441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12F2CB8-7759-4D4F-A5F6-7B6CA6DA34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485" t="36862" r="29818" b="37844"/>
        <a:stretch/>
      </xdr:blipFill>
      <xdr:spPr>
        <a:xfrm>
          <a:off x="2793049" y="476404"/>
          <a:ext cx="5246492" cy="1988890"/>
        </a:xfrm>
        <a:prstGeom prst="rect">
          <a:avLst/>
        </a:prstGeom>
      </xdr:spPr>
    </xdr:pic>
    <xdr:clientData/>
  </xdr:twoCellAnchor>
  <xdr:twoCellAnchor editAs="oneCell">
    <xdr:from>
      <xdr:col>0</xdr:col>
      <xdr:colOff>502803</xdr:colOff>
      <xdr:row>2</xdr:row>
      <xdr:rowOff>78441</xdr:rowOff>
    </xdr:from>
    <xdr:to>
      <xdr:col>1</xdr:col>
      <xdr:colOff>1423147</xdr:colOff>
      <xdr:row>6</xdr:row>
      <xdr:rowOff>1594158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3C703C8-A5F5-4DA1-BCFB-2E8D26C46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2803" y="560294"/>
          <a:ext cx="1872844" cy="2277717"/>
        </a:xfrm>
        <a:prstGeom prst="rect">
          <a:avLst/>
        </a:prstGeom>
      </xdr:spPr>
    </xdr:pic>
    <xdr:clientData/>
  </xdr:twoCellAnchor>
  <xdr:twoCellAnchor>
    <xdr:from>
      <xdr:col>5</xdr:col>
      <xdr:colOff>746760</xdr:colOff>
      <xdr:row>23</xdr:row>
      <xdr:rowOff>60961</xdr:rowOff>
    </xdr:from>
    <xdr:to>
      <xdr:col>8</xdr:col>
      <xdr:colOff>845820</xdr:colOff>
      <xdr:row>23</xdr:row>
      <xdr:rowOff>472440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D2DBCD6F-0BD4-4DCD-8111-B8A9E8ACB3CC}"/>
            </a:ext>
          </a:extLst>
        </xdr:cNvPr>
        <xdr:cNvSpPr/>
      </xdr:nvSpPr>
      <xdr:spPr>
        <a:xfrm>
          <a:off x="4118610" y="5671186"/>
          <a:ext cx="2470785" cy="41147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716280</xdr:colOff>
      <xdr:row>23</xdr:row>
      <xdr:rowOff>60961</xdr:rowOff>
    </xdr:from>
    <xdr:to>
      <xdr:col>5</xdr:col>
      <xdr:colOff>205740</xdr:colOff>
      <xdr:row>23</xdr:row>
      <xdr:rowOff>472440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87F64832-247A-48E0-994D-8120B7CE0ED9}"/>
            </a:ext>
          </a:extLst>
        </xdr:cNvPr>
        <xdr:cNvSpPr/>
      </xdr:nvSpPr>
      <xdr:spPr>
        <a:xfrm>
          <a:off x="1383030" y="5671186"/>
          <a:ext cx="2232660" cy="411479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16</xdr:row>
          <xdr:rowOff>9525</xdr:rowOff>
        </xdr:from>
        <xdr:to>
          <xdr:col>17</xdr:col>
          <xdr:colOff>428625</xdr:colOff>
          <xdr:row>22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23</xdr:row>
          <xdr:rowOff>57150</xdr:rowOff>
        </xdr:from>
        <xdr:to>
          <xdr:col>17</xdr:col>
          <xdr:colOff>390525</xdr:colOff>
          <xdr:row>28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876300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5340AB4-B6F8-449F-8FB6-A362C2EF63D8}"/>
            </a:ext>
          </a:extLst>
        </xdr:cNvPr>
        <xdr:cNvSpPr txBox="1"/>
      </xdr:nvSpPr>
      <xdr:spPr>
        <a:xfrm>
          <a:off x="20958" y="19050"/>
          <a:ext cx="6589392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T-Bushings</a:t>
          </a:r>
        </a:p>
      </xdr:txBody>
    </xdr:sp>
    <xdr:clientData/>
  </xdr:twoCellAnchor>
  <xdr:twoCellAnchor editAs="oneCell">
    <xdr:from>
      <xdr:col>6</xdr:col>
      <xdr:colOff>19229</xdr:colOff>
      <xdr:row>14</xdr:row>
      <xdr:rowOff>4210</xdr:rowOff>
    </xdr:from>
    <xdr:to>
      <xdr:col>6</xdr:col>
      <xdr:colOff>817068</xdr:colOff>
      <xdr:row>16</xdr:row>
      <xdr:rowOff>133201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91551E-0C13-4F88-8861-CDDCB5480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297003" y="3403586"/>
          <a:ext cx="509991" cy="797839"/>
        </a:xfrm>
        <a:prstGeom prst="rect">
          <a:avLst/>
        </a:prstGeom>
      </xdr:spPr>
    </xdr:pic>
    <xdr:clientData/>
  </xdr:twoCellAnchor>
  <xdr:twoCellAnchor editAs="oneCell">
    <xdr:from>
      <xdr:col>1</xdr:col>
      <xdr:colOff>262890</xdr:colOff>
      <xdr:row>1</xdr:row>
      <xdr:rowOff>104774</xdr:rowOff>
    </xdr:from>
    <xdr:to>
      <xdr:col>3</xdr:col>
      <xdr:colOff>349774</xdr:colOff>
      <xdr:row>7</xdr:row>
      <xdr:rowOff>632460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BAEFBF-684D-46A2-A4C4-26B69CBB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79" b="6608"/>
        <a:stretch/>
      </xdr:blipFill>
      <xdr:spPr>
        <a:xfrm>
          <a:off x="948690" y="295274"/>
          <a:ext cx="1477534" cy="1537336"/>
        </a:xfrm>
        <a:prstGeom prst="rect">
          <a:avLst/>
        </a:prstGeom>
      </xdr:spPr>
    </xdr:pic>
    <xdr:clientData/>
  </xdr:twoCellAnchor>
  <xdr:twoCellAnchor editAs="oneCell">
    <xdr:from>
      <xdr:col>3</xdr:col>
      <xdr:colOff>293370</xdr:colOff>
      <xdr:row>1</xdr:row>
      <xdr:rowOff>228600</xdr:rowOff>
    </xdr:from>
    <xdr:to>
      <xdr:col>9</xdr:col>
      <xdr:colOff>306160</xdr:colOff>
      <xdr:row>7</xdr:row>
      <xdr:rowOff>640080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82816FF-8832-4105-B300-ED7FE96D9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9820" y="419100"/>
          <a:ext cx="4573905" cy="1954530"/>
        </a:xfrm>
        <a:prstGeom prst="rect">
          <a:avLst/>
        </a:prstGeom>
      </xdr:spPr>
    </xdr:pic>
    <xdr:clientData/>
  </xdr:twoCellAnchor>
  <xdr:twoCellAnchor>
    <xdr:from>
      <xdr:col>5</xdr:col>
      <xdr:colOff>617142</xdr:colOff>
      <xdr:row>22</xdr:row>
      <xdr:rowOff>304800</xdr:rowOff>
    </xdr:from>
    <xdr:to>
      <xdr:col>8</xdr:col>
      <xdr:colOff>744414</xdr:colOff>
      <xdr:row>23</xdr:row>
      <xdr:rowOff>391600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2A135456-9EE5-42C4-862B-0FBE1CA42962}"/>
            </a:ext>
          </a:extLst>
        </xdr:cNvPr>
        <xdr:cNvSpPr/>
      </xdr:nvSpPr>
      <xdr:spPr>
        <a:xfrm>
          <a:off x="4046142" y="5410200"/>
          <a:ext cx="2460897" cy="420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602973</xdr:colOff>
      <xdr:row>22</xdr:row>
      <xdr:rowOff>304800</xdr:rowOff>
    </xdr:from>
    <xdr:to>
      <xdr:col>5</xdr:col>
      <xdr:colOff>98982</xdr:colOff>
      <xdr:row>23</xdr:row>
      <xdr:rowOff>391600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336BFACD-18FF-4997-9792-E0F2C4E8DF91}"/>
            </a:ext>
          </a:extLst>
        </xdr:cNvPr>
        <xdr:cNvSpPr/>
      </xdr:nvSpPr>
      <xdr:spPr>
        <a:xfrm>
          <a:off x="1288773" y="5410200"/>
          <a:ext cx="2239209" cy="42017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xdr:twoCellAnchor>
    <xdr:from>
      <xdr:col>9</xdr:col>
      <xdr:colOff>165652</xdr:colOff>
      <xdr:row>21</xdr:row>
      <xdr:rowOff>99390</xdr:rowOff>
    </xdr:from>
    <xdr:to>
      <xdr:col>13</xdr:col>
      <xdr:colOff>298648</xdr:colOff>
      <xdr:row>24</xdr:row>
      <xdr:rowOff>22718</xdr:rowOff>
    </xdr:to>
    <xdr:sp macro="[1]!QI_BTN_SAVE_AS_PDF" textlink="">
      <xdr:nvSpPr>
        <xdr:cNvPr id="8" name="BTN_FINALQUOTE_SAVE_AS_PDF">
          <a:extLst>
            <a:ext uri="{FF2B5EF4-FFF2-40B4-BE49-F238E27FC236}">
              <a16:creationId xmlns:a16="http://schemas.microsoft.com/office/drawing/2014/main" id="{9B347DB9-C0CB-4331-A9B8-72795615688C}"/>
            </a:ext>
          </a:extLst>
        </xdr:cNvPr>
        <xdr:cNvSpPr/>
      </xdr:nvSpPr>
      <xdr:spPr>
        <a:xfrm>
          <a:off x="6776002" y="5014290"/>
          <a:ext cx="2542821" cy="87582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Save as PDF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%20Campbell\Documents\John%20Coding%20projects\excel\sales%20stuff\QM%202023%2002%2007%20(version%201)%20-%20Copy.xlsm" TargetMode="External"/><Relationship Id="rId1" Type="http://schemas.openxmlformats.org/officeDocument/2006/relationships/externalLinkPath" Target="/Users/John%20Campbell/Documents/John%20Coding%20projects/excel/sales%20stuff/QM%202023%2002%2007%20(version%201)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LOGIN"/>
      <sheetName val="QUOTES"/>
      <sheetName val="CUSTOMERS"/>
      <sheetName val="ITEMS"/>
      <sheetName val="FINALQUOTE"/>
      <sheetName val="Variables"/>
      <sheetName val="TABLES"/>
      <sheetName val="QI1_Data"/>
      <sheetName val="QI1_Inputs"/>
      <sheetName val="QI2_Inputs"/>
      <sheetName val="QI2_Data"/>
      <sheetName val="QI3_Inputs"/>
      <sheetName val="QI3_Data"/>
      <sheetName val="QI4_Inputs"/>
      <sheetName val="QI4_Data"/>
      <sheetName val="QI5_Inputs"/>
      <sheetName val="QI5_Data"/>
      <sheetName val="QM 2023 02 07 (version 1) - Cop"/>
    </sheetNames>
    <definedNames>
      <definedName name="QI_BTN_SAVE_AS_PDF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4">
          <cell r="E14" t="str">
            <v>Steel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CBAA-E760-4235-8E76-772B66244B91}">
  <sheetPr codeName="Sheet1"/>
  <dimension ref="A1:BA40"/>
  <sheetViews>
    <sheetView tabSelected="1" zoomScale="85" zoomScaleNormal="85" workbookViewId="0">
      <selection activeCell="L14" sqref="L14"/>
    </sheetView>
  </sheetViews>
  <sheetFormatPr defaultRowHeight="15" x14ac:dyDescent="0.25"/>
  <cols>
    <col min="1" max="1" width="14.28515625" bestFit="1" customWidth="1"/>
    <col min="2" max="2" width="22.7109375" customWidth="1"/>
    <col min="3" max="3" width="22" customWidth="1"/>
    <col min="4" max="4" width="24.140625" customWidth="1"/>
    <col min="5" max="5" width="10.7109375" bestFit="1" customWidth="1"/>
    <col min="6" max="6" width="13.28515625" customWidth="1"/>
    <col min="8" max="8" width="8.42578125" customWidth="1"/>
    <col min="9" max="9" width="13.140625" bestFit="1" customWidth="1"/>
    <col min="15" max="15" width="11.5703125" bestFit="1" customWidth="1"/>
    <col min="16" max="16" width="10.28515625" bestFit="1" customWidth="1"/>
    <col min="17" max="17" width="11.7109375" bestFit="1" customWidth="1"/>
    <col min="18" max="18" width="17.140625" bestFit="1" customWidth="1"/>
    <col min="23" max="23" width="33" bestFit="1" customWidth="1"/>
    <col min="24" max="24" width="39.7109375" bestFit="1" customWidth="1"/>
    <col min="28" max="28" width="35.140625" bestFit="1" customWidth="1"/>
    <col min="29" max="29" width="38.5703125" bestFit="1" customWidth="1"/>
    <col min="31" max="31" width="33.85546875" bestFit="1" customWidth="1"/>
    <col min="32" max="32" width="18.85546875" customWidth="1"/>
    <col min="33" max="33" width="16.85546875" customWidth="1"/>
    <col min="34" max="34" width="15.42578125" customWidth="1"/>
    <col min="35" max="35" width="27.42578125" customWidth="1"/>
    <col min="36" max="36" width="25.28515625" bestFit="1" customWidth="1"/>
    <col min="38" max="38" width="3.85546875" customWidth="1"/>
    <col min="39" max="39" width="34.85546875" bestFit="1" customWidth="1"/>
    <col min="40" max="40" width="13" bestFit="1" customWidth="1"/>
    <col min="41" max="41" width="24.42578125" bestFit="1" customWidth="1"/>
    <col min="42" max="42" width="6.28515625" bestFit="1" customWidth="1"/>
    <col min="43" max="43" width="10" bestFit="1" customWidth="1"/>
    <col min="44" max="44" width="13" bestFit="1" customWidth="1"/>
    <col min="47" max="47" width="32.5703125" bestFit="1" customWidth="1"/>
    <col min="48" max="48" width="9.28515625" bestFit="1" customWidth="1"/>
    <col min="49" max="49" width="17.140625" bestFit="1" customWidth="1"/>
    <col min="50" max="50" width="7.140625" bestFit="1" customWidth="1"/>
    <col min="51" max="51" width="18.85546875" bestFit="1" customWidth="1"/>
  </cols>
  <sheetData>
    <row r="1" spans="1:53" ht="23.25" x14ac:dyDescent="0.35">
      <c r="N1" s="44" t="s">
        <v>34</v>
      </c>
      <c r="O1" s="44"/>
      <c r="P1" s="44"/>
      <c r="Q1" s="44"/>
      <c r="R1" s="44"/>
      <c r="S1" s="44"/>
      <c r="T1" s="44"/>
      <c r="W1" s="44" t="s">
        <v>35</v>
      </c>
      <c r="X1" s="44"/>
      <c r="AE1" s="44" t="s">
        <v>55</v>
      </c>
      <c r="AF1" s="44"/>
      <c r="AG1" s="44"/>
      <c r="AH1" s="44"/>
      <c r="AI1" s="44"/>
      <c r="AJ1" s="44"/>
      <c r="AK1" s="44"/>
      <c r="AM1" s="44" t="s">
        <v>54</v>
      </c>
      <c r="AN1" s="44"/>
      <c r="AO1" s="44"/>
      <c r="AP1" s="44"/>
      <c r="AQ1" s="44"/>
      <c r="AR1" s="44"/>
      <c r="AS1" s="44"/>
      <c r="AU1" s="22" t="s">
        <v>124</v>
      </c>
      <c r="AV1" s="22"/>
      <c r="AW1" s="22"/>
      <c r="AX1" s="22"/>
      <c r="AY1" s="22"/>
      <c r="AZ1" s="22"/>
      <c r="BA1" s="22"/>
    </row>
    <row r="2" spans="1:53" x14ac:dyDescent="0.25">
      <c r="W2" t="s">
        <v>36</v>
      </c>
      <c r="X2" s="23">
        <v>100100154</v>
      </c>
      <c r="AE2" s="27" t="s">
        <v>56</v>
      </c>
      <c r="AF2" s="27" t="s">
        <v>58</v>
      </c>
      <c r="AG2" s="27" t="s">
        <v>59</v>
      </c>
    </row>
    <row r="3" spans="1:53" x14ac:dyDescent="0.25">
      <c r="N3" s="24" t="s">
        <v>37</v>
      </c>
      <c r="O3" s="24" t="s">
        <v>38</v>
      </c>
      <c r="P3" s="24" t="s">
        <v>39</v>
      </c>
      <c r="Q3" s="24" t="s">
        <v>40</v>
      </c>
      <c r="R3" s="24" t="s">
        <v>41</v>
      </c>
      <c r="S3" s="24" t="s">
        <v>152</v>
      </c>
      <c r="W3" t="s">
        <v>42</v>
      </c>
      <c r="X3" s="23" t="s">
        <v>43</v>
      </c>
      <c r="AE3" t="s">
        <v>36</v>
      </c>
      <c r="AF3" t="s">
        <v>174</v>
      </c>
      <c r="AG3" s="28">
        <f>X2</f>
        <v>100100154</v>
      </c>
      <c r="AM3" s="24" t="s">
        <v>62</v>
      </c>
      <c r="AU3">
        <v>0</v>
      </c>
      <c r="AV3" t="s">
        <v>129</v>
      </c>
      <c r="AY3">
        <f>IF($I$10=AU3,AV3,0)</f>
        <v>0</v>
      </c>
    </row>
    <row r="4" spans="1:53" x14ac:dyDescent="0.25">
      <c r="N4" t="s">
        <v>25</v>
      </c>
      <c r="O4" t="s">
        <v>25</v>
      </c>
      <c r="P4" t="s">
        <v>25</v>
      </c>
      <c r="Q4" s="25">
        <v>0</v>
      </c>
      <c r="R4">
        <v>10</v>
      </c>
      <c r="S4" t="s">
        <v>172</v>
      </c>
      <c r="W4" t="s">
        <v>44</v>
      </c>
      <c r="X4" s="26">
        <v>44992</v>
      </c>
      <c r="AE4" t="s">
        <v>42</v>
      </c>
      <c r="AF4" t="s">
        <v>175</v>
      </c>
      <c r="AG4" s="28" t="str">
        <f>X3</f>
        <v>100100154.dat</v>
      </c>
      <c r="AM4" s="24" t="s">
        <v>25</v>
      </c>
      <c r="AN4" s="29">
        <v>-10000</v>
      </c>
      <c r="AR4" s="29">
        <f>IF(AM4=[1]QI1_Inputs!$E$14,[1]QI1_Data!AN4,0)</f>
        <v>0</v>
      </c>
      <c r="AU4">
        <v>1</v>
      </c>
      <c r="AV4" s="29">
        <f>AR21*AR22*AX4</f>
        <v>55.25</v>
      </c>
      <c r="AW4" t="s">
        <v>132</v>
      </c>
      <c r="AX4">
        <f>1-AG14</f>
        <v>0.85</v>
      </c>
      <c r="AY4">
        <f>IF($I$10=AU4,AV4,0)</f>
        <v>0</v>
      </c>
    </row>
    <row r="5" spans="1:53" x14ac:dyDescent="0.25">
      <c r="N5" t="s">
        <v>5</v>
      </c>
      <c r="O5" t="s">
        <v>13</v>
      </c>
      <c r="P5" t="s">
        <v>29</v>
      </c>
      <c r="Q5" s="25">
        <v>0.05</v>
      </c>
      <c r="W5" t="s">
        <v>45</v>
      </c>
      <c r="X5" s="23" t="s">
        <v>46</v>
      </c>
      <c r="AE5" t="s">
        <v>50</v>
      </c>
      <c r="AF5" t="s">
        <v>177</v>
      </c>
      <c r="AG5" s="28" t="str">
        <f>X6</f>
        <v>QI1</v>
      </c>
      <c r="AM5" t="s">
        <v>65</v>
      </c>
      <c r="AN5" s="29">
        <v>20</v>
      </c>
      <c r="AO5" t="s">
        <v>66</v>
      </c>
      <c r="AR5" s="29">
        <f>IF(AM5=Bushings!$E$14,#REF!,0)</f>
        <v>0</v>
      </c>
      <c r="AU5">
        <v>2</v>
      </c>
      <c r="AV5" s="29">
        <f>AV4*AX5</f>
        <v>53.592500000000001</v>
      </c>
      <c r="AW5" t="s">
        <v>135</v>
      </c>
      <c r="AX5">
        <v>0.97</v>
      </c>
      <c r="AY5">
        <f>IF($I$10=AU5,AV5,0)</f>
        <v>0</v>
      </c>
    </row>
    <row r="6" spans="1:53" x14ac:dyDescent="0.25">
      <c r="N6" t="s">
        <v>47</v>
      </c>
      <c r="O6" t="s">
        <v>48</v>
      </c>
      <c r="P6" t="s">
        <v>14</v>
      </c>
      <c r="Q6" s="25">
        <v>0.1</v>
      </c>
      <c r="W6" t="s">
        <v>50</v>
      </c>
      <c r="X6" s="23" t="s">
        <v>49</v>
      </c>
      <c r="AE6" t="s">
        <v>44</v>
      </c>
      <c r="AF6" t="s">
        <v>176</v>
      </c>
      <c r="AG6" s="30">
        <f>X4</f>
        <v>44992</v>
      </c>
      <c r="AM6" t="s">
        <v>48</v>
      </c>
      <c r="AN6" s="29">
        <v>35</v>
      </c>
      <c r="AO6" t="s">
        <v>66</v>
      </c>
      <c r="AR6" s="29">
        <f>IF(AM6=$E$14,AN6,0)</f>
        <v>0</v>
      </c>
      <c r="AU6">
        <v>3</v>
      </c>
      <c r="AV6" s="29">
        <f>$AV$4*AX6</f>
        <v>52.487499999999997</v>
      </c>
      <c r="AW6" t="s">
        <v>138</v>
      </c>
      <c r="AX6">
        <v>0.95</v>
      </c>
      <c r="AY6">
        <f>IF(AND($I$10&gt;=AU6,$I$10&lt;5),AV6,0)</f>
        <v>0</v>
      </c>
    </row>
    <row r="7" spans="1:53" ht="135.75" customHeight="1" x14ac:dyDescent="0.25">
      <c r="N7" t="s">
        <v>51</v>
      </c>
      <c r="Q7" s="25">
        <v>0.15</v>
      </c>
      <c r="W7" t="s">
        <v>52</v>
      </c>
      <c r="X7" s="23">
        <v>114.3</v>
      </c>
      <c r="AE7" t="s">
        <v>71</v>
      </c>
      <c r="AF7" t="s">
        <v>72</v>
      </c>
      <c r="AG7" s="28" t="str">
        <f>C11</f>
        <v>Bushing</v>
      </c>
      <c r="AM7" t="s">
        <v>69</v>
      </c>
      <c r="AN7" s="31">
        <f>B16*D16</f>
        <v>500</v>
      </c>
      <c r="AO7" t="s">
        <v>70</v>
      </c>
      <c r="AP7">
        <v>0.01</v>
      </c>
      <c r="AR7" s="29">
        <f>IF((AP7*AN7)&gt;0,AP7*AN7,-10000)</f>
        <v>5</v>
      </c>
      <c r="AU7">
        <v>5</v>
      </c>
      <c r="AV7" s="29">
        <f t="shared" ref="AV7:AV10" si="0">$AV$4*AX7</f>
        <v>49.725000000000001</v>
      </c>
      <c r="AW7" t="s">
        <v>141</v>
      </c>
      <c r="AX7">
        <v>0.9</v>
      </c>
      <c r="AY7">
        <f>IF(AND($I$10&gt;=AU7,$I$10&lt;10),AV7,0)</f>
        <v>0</v>
      </c>
    </row>
    <row r="8" spans="1:53" ht="24" customHeight="1" x14ac:dyDescent="0.25">
      <c r="Q8" s="25">
        <v>0.2</v>
      </c>
      <c r="W8" t="s">
        <v>53</v>
      </c>
      <c r="X8" s="23">
        <v>10</v>
      </c>
      <c r="AE8" t="s">
        <v>74</v>
      </c>
      <c r="AF8" t="s">
        <v>75</v>
      </c>
      <c r="AG8" s="28">
        <v>51425</v>
      </c>
      <c r="AM8" s="24" t="s">
        <v>73</v>
      </c>
      <c r="AU8">
        <v>10</v>
      </c>
      <c r="AV8" s="29">
        <f t="shared" si="0"/>
        <v>46.962499999999999</v>
      </c>
      <c r="AW8" t="s">
        <v>144</v>
      </c>
      <c r="AX8">
        <v>0.85</v>
      </c>
      <c r="AY8">
        <f>IF(AND($I$10&gt;=AU8,$I$10&lt;25),AV8,0)</f>
        <v>0</v>
      </c>
    </row>
    <row r="9" spans="1:53" ht="21" x14ac:dyDescent="0.35">
      <c r="B9" s="1" t="s">
        <v>0</v>
      </c>
      <c r="C9" s="55">
        <f>AG8</f>
        <v>51425</v>
      </c>
      <c r="D9" s="56"/>
      <c r="E9" s="56"/>
      <c r="F9" s="57"/>
      <c r="H9" s="2" t="s">
        <v>1</v>
      </c>
      <c r="I9" s="3">
        <f ca="1">TODAY()</f>
        <v>45198</v>
      </c>
      <c r="Q9" s="25">
        <v>0.25</v>
      </c>
      <c r="AE9" t="s">
        <v>78</v>
      </c>
      <c r="AF9" t="s">
        <v>79</v>
      </c>
      <c r="AG9" s="28" t="str">
        <f>F22</f>
        <v>50mm x 76.2mm x 10mm Steel Bushing</v>
      </c>
      <c r="AM9" t="s">
        <v>76</v>
      </c>
      <c r="AN9" s="29">
        <v>30</v>
      </c>
      <c r="AO9" t="s">
        <v>77</v>
      </c>
      <c r="AR9" s="32">
        <v>30</v>
      </c>
      <c r="AU9">
        <v>25</v>
      </c>
      <c r="AV9" s="29">
        <f t="shared" si="0"/>
        <v>44.2</v>
      </c>
      <c r="AW9" t="s">
        <v>145</v>
      </c>
      <c r="AX9">
        <v>0.8</v>
      </c>
      <c r="AY9">
        <f>IF(AND($I$10&gt;=AU9,$I$10&lt;50),AV9,0)</f>
        <v>0</v>
      </c>
    </row>
    <row r="10" spans="1:53" ht="21" x14ac:dyDescent="0.35">
      <c r="B10" s="1" t="s">
        <v>2</v>
      </c>
      <c r="C10" s="55" t="str">
        <f>AG13</f>
        <v>Aggregate</v>
      </c>
      <c r="D10" s="56"/>
      <c r="E10" s="56"/>
      <c r="F10" s="57"/>
      <c r="H10" s="1" t="s">
        <v>3</v>
      </c>
      <c r="I10" s="4">
        <v>50</v>
      </c>
      <c r="Q10" s="25">
        <v>0.3</v>
      </c>
      <c r="AE10" t="s">
        <v>83</v>
      </c>
      <c r="AF10" t="s">
        <v>173</v>
      </c>
      <c r="AG10" s="28">
        <f>R4</f>
        <v>10</v>
      </c>
      <c r="AM10" t="s">
        <v>81</v>
      </c>
      <c r="AN10" s="29">
        <v>20</v>
      </c>
      <c r="AO10" t="s">
        <v>82</v>
      </c>
      <c r="AR10" s="33">
        <f>IF(AG20&gt;0,15+((AG20-1)*5),0)</f>
        <v>0</v>
      </c>
      <c r="AU10">
        <v>50</v>
      </c>
      <c r="AV10" s="29">
        <f t="shared" si="0"/>
        <v>43.094999999999999</v>
      </c>
      <c r="AW10" t="s">
        <v>146</v>
      </c>
      <c r="AX10">
        <v>0.78</v>
      </c>
      <c r="AY10">
        <f>IF($I$10&gt;=AU10,AV10,0)</f>
        <v>43.094999999999999</v>
      </c>
    </row>
    <row r="11" spans="1:53" ht="25.5" customHeight="1" x14ac:dyDescent="0.45">
      <c r="B11" s="1" t="s">
        <v>4</v>
      </c>
      <c r="C11" s="55" t="s">
        <v>51</v>
      </c>
      <c r="D11" s="58"/>
      <c r="E11" s="5" t="str">
        <f>IF(C11="T-Bushing","** Price is for 1pc not a set","")</f>
        <v/>
      </c>
      <c r="F11" s="6"/>
      <c r="G11" s="6"/>
      <c r="H11" s="1" t="s">
        <v>6</v>
      </c>
      <c r="I11" s="7">
        <v>0.15</v>
      </c>
      <c r="Q11" s="25">
        <v>0.35</v>
      </c>
      <c r="AE11" t="s">
        <v>88</v>
      </c>
      <c r="AF11" t="s">
        <v>89</v>
      </c>
      <c r="AG11" s="28">
        <f>I10</f>
        <v>50</v>
      </c>
      <c r="AM11" t="s">
        <v>86</v>
      </c>
      <c r="AN11" s="29">
        <v>10</v>
      </c>
      <c r="AO11" t="s">
        <v>87</v>
      </c>
      <c r="AR11" s="33">
        <f>IF(Bushings!AO8&gt;0,10+((Bushings!AO8-1)*5),0)</f>
        <v>0</v>
      </c>
      <c r="AV11" s="29"/>
      <c r="AW11" s="42" t="s">
        <v>147</v>
      </c>
      <c r="AX11" s="42"/>
      <c r="AY11" s="34">
        <f>SUM(AY4:AY10)</f>
        <v>43.094999999999999</v>
      </c>
      <c r="AZ11" s="8"/>
    </row>
    <row r="12" spans="1:53" x14ac:dyDescent="0.25">
      <c r="AE12" t="s">
        <v>91</v>
      </c>
      <c r="AF12" t="s">
        <v>92</v>
      </c>
      <c r="AG12" s="28">
        <f>AY11</f>
        <v>43.094999999999999</v>
      </c>
      <c r="AM12" t="s">
        <v>90</v>
      </c>
      <c r="AN12" s="29">
        <v>15</v>
      </c>
      <c r="AR12" s="33">
        <f>IF($F$14="Yes",AN12,0)</f>
        <v>0</v>
      </c>
    </row>
    <row r="13" spans="1:53" ht="30" x14ac:dyDescent="0.25">
      <c r="A13" s="8"/>
      <c r="B13" s="9" t="s">
        <v>7</v>
      </c>
      <c r="C13" s="9" t="s">
        <v>8</v>
      </c>
      <c r="D13" s="10" t="s">
        <v>9</v>
      </c>
      <c r="E13" s="11" t="s">
        <v>10</v>
      </c>
      <c r="F13" s="10" t="s">
        <v>11</v>
      </c>
      <c r="G13" s="10"/>
      <c r="H13" s="10"/>
      <c r="AE13" t="s">
        <v>95</v>
      </c>
      <c r="AF13" t="s">
        <v>96</v>
      </c>
      <c r="AG13" s="28" t="s">
        <v>97</v>
      </c>
      <c r="AM13" t="s">
        <v>94</v>
      </c>
      <c r="AN13" s="29">
        <v>30</v>
      </c>
      <c r="AR13" s="33">
        <f>IF($G$19="Yes",AN13,0)</f>
        <v>0</v>
      </c>
    </row>
    <row r="14" spans="1:53" x14ac:dyDescent="0.25">
      <c r="A14" s="2" t="s">
        <v>12</v>
      </c>
      <c r="B14" s="12">
        <v>50</v>
      </c>
      <c r="C14" s="12"/>
      <c r="D14" s="12">
        <v>10</v>
      </c>
      <c r="E14" s="13" t="s">
        <v>13</v>
      </c>
      <c r="F14" s="14" t="s">
        <v>29</v>
      </c>
      <c r="AE14" t="s">
        <v>99</v>
      </c>
      <c r="AF14" t="s">
        <v>100</v>
      </c>
      <c r="AG14" s="28">
        <f>I11</f>
        <v>0.15</v>
      </c>
      <c r="AM14" t="s">
        <v>98</v>
      </c>
      <c r="AN14" s="29">
        <v>40</v>
      </c>
      <c r="AR14" s="33">
        <f>IF($C$21="Yes",AN14,0)</f>
        <v>0</v>
      </c>
    </row>
    <row r="15" spans="1:53" x14ac:dyDescent="0.25">
      <c r="A15" s="2" t="s">
        <v>15</v>
      </c>
      <c r="B15" s="15"/>
      <c r="C15" s="16">
        <v>3</v>
      </c>
      <c r="D15" s="16"/>
      <c r="AE15" t="s">
        <v>102</v>
      </c>
      <c r="AF15" t="s">
        <v>103</v>
      </c>
      <c r="AG15" s="41">
        <f>B16</f>
        <v>50</v>
      </c>
      <c r="AM15" s="24" t="s">
        <v>101</v>
      </c>
      <c r="AN15" s="29"/>
    </row>
    <row r="16" spans="1:53" x14ac:dyDescent="0.25">
      <c r="A16" s="2" t="s">
        <v>16</v>
      </c>
      <c r="B16" s="17">
        <f>IF(B14&gt;0,IF(B15&gt;0,"Error",B14),B15*25.4)</f>
        <v>50</v>
      </c>
      <c r="C16" s="17">
        <f>IF(C14&gt;0,IF(C15&gt;0,"Error",C14),C15*25.4)</f>
        <v>76.199999999999989</v>
      </c>
      <c r="D16" s="17">
        <f>IF(D14&gt;0,IF(D15&gt;0,"Error",D14),D15*25.4)</f>
        <v>10</v>
      </c>
      <c r="AE16" t="s">
        <v>105</v>
      </c>
      <c r="AF16" t="s">
        <v>106</v>
      </c>
      <c r="AG16" s="41">
        <f>C16</f>
        <v>76.199999999999989</v>
      </c>
      <c r="AM16" s="24" t="s">
        <v>25</v>
      </c>
      <c r="AN16" s="29">
        <v>-10000</v>
      </c>
      <c r="AR16" s="33">
        <f>IF(AM16=Bushings!$C$11,#REF!,0)</f>
        <v>0</v>
      </c>
    </row>
    <row r="17" spans="1:44" x14ac:dyDescent="0.25">
      <c r="AE17" t="s">
        <v>108</v>
      </c>
      <c r="AF17" t="s">
        <v>109</v>
      </c>
      <c r="AG17" s="41">
        <f>D16</f>
        <v>10</v>
      </c>
      <c r="AM17" t="s">
        <v>5</v>
      </c>
      <c r="AN17" s="29">
        <v>20</v>
      </c>
      <c r="AR17" s="33">
        <f>IF(AM17=$C$11,AN17,0)</f>
        <v>0</v>
      </c>
    </row>
    <row r="18" spans="1:44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E18" t="s">
        <v>111</v>
      </c>
      <c r="AF18" t="s">
        <v>112</v>
      </c>
      <c r="AG18" s="28" t="str">
        <f>E14</f>
        <v>Steel</v>
      </c>
      <c r="AM18" t="s">
        <v>47</v>
      </c>
      <c r="AN18" s="29">
        <v>40</v>
      </c>
      <c r="AR18" s="33">
        <f>IF(AM18=$C$11,AN18,0)</f>
        <v>0</v>
      </c>
    </row>
    <row r="19" spans="1:44" x14ac:dyDescent="0.25">
      <c r="B19" s="2" t="s">
        <v>23</v>
      </c>
      <c r="C19" s="19"/>
      <c r="D19" s="14"/>
      <c r="E19" s="13"/>
      <c r="F19" s="2" t="s">
        <v>24</v>
      </c>
      <c r="G19" s="14" t="s">
        <v>29</v>
      </c>
      <c r="H19" s="14">
        <v>0</v>
      </c>
      <c r="I19" s="14">
        <v>0</v>
      </c>
      <c r="AE19" t="s">
        <v>178</v>
      </c>
      <c r="AF19" t="s">
        <v>113</v>
      </c>
      <c r="AG19" s="28" t="str">
        <f>F14</f>
        <v>No</v>
      </c>
      <c r="AM19" t="s">
        <v>51</v>
      </c>
      <c r="AN19" s="29">
        <v>30</v>
      </c>
      <c r="AR19" s="33">
        <f>IF(AM19=$C$11,AN19,0)</f>
        <v>30</v>
      </c>
    </row>
    <row r="20" spans="1:44" x14ac:dyDescent="0.25">
      <c r="B20" s="2" t="s">
        <v>26</v>
      </c>
      <c r="C20" s="19"/>
      <c r="D20" s="14"/>
      <c r="E20" s="14"/>
      <c r="G20" t="s">
        <v>27</v>
      </c>
      <c r="AE20" t="s">
        <v>114</v>
      </c>
      <c r="AF20" t="s">
        <v>115</v>
      </c>
      <c r="AG20" s="36">
        <f>C19</f>
        <v>0</v>
      </c>
    </row>
    <row r="21" spans="1:44" x14ac:dyDescent="0.25">
      <c r="B21" s="2" t="s">
        <v>28</v>
      </c>
      <c r="C21" s="16" t="s">
        <v>29</v>
      </c>
      <c r="D21" s="20" t="s">
        <v>30</v>
      </c>
      <c r="AE21" t="s">
        <v>117</v>
      </c>
      <c r="AF21" t="s">
        <v>118</v>
      </c>
      <c r="AG21" s="28">
        <f>D19</f>
        <v>0</v>
      </c>
      <c r="AQ21" t="s">
        <v>116</v>
      </c>
      <c r="AR21" s="29">
        <f>SUM(AR4:AR19)</f>
        <v>65</v>
      </c>
    </row>
    <row r="22" spans="1:44" ht="15.75" thickBot="1" x14ac:dyDescent="0.3">
      <c r="B22" s="2"/>
      <c r="E22" t="s">
        <v>31</v>
      </c>
      <c r="F22" s="43" t="str">
        <f>B16 &amp; "mm x " &amp; C16 &amp; "mm x " &amp; D16 &amp; "mm " &amp; E14 &amp; " " &amp; C11</f>
        <v>50mm x 76.2mm x 10mm Steel Bushing</v>
      </c>
      <c r="G22" s="43"/>
      <c r="H22" s="43"/>
      <c r="I22" s="43"/>
      <c r="AE22" t="s">
        <v>120</v>
      </c>
      <c r="AF22" t="s">
        <v>121</v>
      </c>
      <c r="AG22" s="28">
        <f>E19</f>
        <v>0</v>
      </c>
      <c r="AO22" s="45" t="s">
        <v>119</v>
      </c>
      <c r="AP22" s="45"/>
      <c r="AQ22" s="45"/>
      <c r="AR22">
        <v>1</v>
      </c>
    </row>
    <row r="23" spans="1:44" ht="27" thickBot="1" x14ac:dyDescent="0.45">
      <c r="E23" s="59" t="s">
        <v>32</v>
      </c>
      <c r="F23" s="60"/>
      <c r="G23" s="61">
        <f>AY11</f>
        <v>43.094999999999999</v>
      </c>
      <c r="H23" s="62"/>
      <c r="I23" s="63"/>
      <c r="AE23" t="s">
        <v>122</v>
      </c>
      <c r="AF23" t="s">
        <v>123</v>
      </c>
      <c r="AG23" s="36">
        <f>C20</f>
        <v>0</v>
      </c>
    </row>
    <row r="24" spans="1:44" ht="48" customHeight="1" thickBot="1" x14ac:dyDescent="0.3">
      <c r="AE24" t="s">
        <v>125</v>
      </c>
      <c r="AF24" t="s">
        <v>126</v>
      </c>
      <c r="AG24" s="28">
        <f>D20</f>
        <v>0</v>
      </c>
    </row>
    <row r="25" spans="1:44" ht="23.25" x14ac:dyDescent="0.35">
      <c r="A25" s="21" t="s">
        <v>33</v>
      </c>
      <c r="B25" s="46"/>
      <c r="C25" s="47"/>
      <c r="D25" s="47"/>
      <c r="E25" s="47"/>
      <c r="F25" s="47"/>
      <c r="G25" s="47"/>
      <c r="H25" s="47"/>
      <c r="I25" s="48"/>
      <c r="AE25" t="s">
        <v>127</v>
      </c>
      <c r="AF25" t="s">
        <v>128</v>
      </c>
      <c r="AG25" s="28">
        <f>E20</f>
        <v>0</v>
      </c>
    </row>
    <row r="26" spans="1:44" x14ac:dyDescent="0.25">
      <c r="B26" s="49"/>
      <c r="C26" s="50"/>
      <c r="D26" s="50"/>
      <c r="E26" s="50"/>
      <c r="F26" s="50"/>
      <c r="G26" s="50"/>
      <c r="H26" s="50"/>
      <c r="I26" s="51"/>
      <c r="AE26" t="s">
        <v>130</v>
      </c>
      <c r="AF26" t="s">
        <v>131</v>
      </c>
      <c r="AG26" s="35" t="str">
        <f>C21</f>
        <v>No</v>
      </c>
    </row>
    <row r="27" spans="1:44" x14ac:dyDescent="0.25">
      <c r="B27" s="49"/>
      <c r="C27" s="50"/>
      <c r="D27" s="50"/>
      <c r="E27" s="50"/>
      <c r="F27" s="50"/>
      <c r="G27" s="50"/>
      <c r="H27" s="50"/>
      <c r="I27" s="51"/>
      <c r="AE27" t="s">
        <v>133</v>
      </c>
      <c r="AF27" t="s">
        <v>134</v>
      </c>
      <c r="AG27" s="28" t="str">
        <f>G19</f>
        <v>No</v>
      </c>
    </row>
    <row r="28" spans="1:44" x14ac:dyDescent="0.25">
      <c r="B28" s="49"/>
      <c r="C28" s="50"/>
      <c r="D28" s="50"/>
      <c r="E28" s="50"/>
      <c r="F28" s="50"/>
      <c r="G28" s="50"/>
      <c r="H28" s="50"/>
      <c r="I28" s="51"/>
      <c r="AE28" t="s">
        <v>136</v>
      </c>
      <c r="AF28" t="s">
        <v>137</v>
      </c>
      <c r="AG28" s="28">
        <f>H19</f>
        <v>0</v>
      </c>
    </row>
    <row r="29" spans="1:44" x14ac:dyDescent="0.25">
      <c r="B29" s="49"/>
      <c r="C29" s="50"/>
      <c r="D29" s="50"/>
      <c r="E29" s="50"/>
      <c r="F29" s="50"/>
      <c r="G29" s="50"/>
      <c r="H29" s="50"/>
      <c r="I29" s="51"/>
      <c r="AE29" t="s">
        <v>139</v>
      </c>
      <c r="AF29" t="s">
        <v>140</v>
      </c>
      <c r="AG29" s="28">
        <f>I19</f>
        <v>0</v>
      </c>
    </row>
    <row r="30" spans="1:44" x14ac:dyDescent="0.25">
      <c r="B30" s="49"/>
      <c r="C30" s="50"/>
      <c r="D30" s="50"/>
      <c r="E30" s="50"/>
      <c r="F30" s="50"/>
      <c r="G30" s="50"/>
      <c r="H30" s="50"/>
      <c r="I30" s="51"/>
      <c r="AE30" t="s">
        <v>142</v>
      </c>
      <c r="AF30" t="s">
        <v>143</v>
      </c>
      <c r="AG30" s="28">
        <f>B25</f>
        <v>0</v>
      </c>
    </row>
    <row r="31" spans="1:44" x14ac:dyDescent="0.25">
      <c r="B31" s="49"/>
      <c r="C31" s="50"/>
      <c r="D31" s="50"/>
      <c r="E31" s="50"/>
      <c r="F31" s="50"/>
      <c r="G31" s="50"/>
      <c r="H31" s="50"/>
      <c r="I31" s="51"/>
    </row>
    <row r="32" spans="1:44" x14ac:dyDescent="0.25">
      <c r="B32" s="49"/>
      <c r="C32" s="50"/>
      <c r="D32" s="50"/>
      <c r="E32" s="50"/>
      <c r="F32" s="50"/>
      <c r="G32" s="50"/>
      <c r="H32" s="50"/>
      <c r="I32" s="51"/>
    </row>
    <row r="33" spans="2:9" x14ac:dyDescent="0.25">
      <c r="B33" s="49"/>
      <c r="C33" s="50"/>
      <c r="D33" s="50"/>
      <c r="E33" s="50"/>
      <c r="F33" s="50"/>
      <c r="G33" s="50"/>
      <c r="H33" s="50"/>
      <c r="I33" s="51"/>
    </row>
    <row r="34" spans="2:9" x14ac:dyDescent="0.25">
      <c r="B34" s="49"/>
      <c r="C34" s="50"/>
      <c r="D34" s="50"/>
      <c r="E34" s="50"/>
      <c r="F34" s="50"/>
      <c r="G34" s="50"/>
      <c r="H34" s="50"/>
      <c r="I34" s="51"/>
    </row>
    <row r="35" spans="2:9" x14ac:dyDescent="0.25">
      <c r="B35" s="49"/>
      <c r="C35" s="50"/>
      <c r="D35" s="50"/>
      <c r="E35" s="50"/>
      <c r="F35" s="50"/>
      <c r="G35" s="50"/>
      <c r="H35" s="50"/>
      <c r="I35" s="51"/>
    </row>
    <row r="36" spans="2:9" x14ac:dyDescent="0.25">
      <c r="B36" s="49"/>
      <c r="C36" s="50"/>
      <c r="D36" s="50"/>
      <c r="E36" s="50"/>
      <c r="F36" s="50"/>
      <c r="G36" s="50"/>
      <c r="H36" s="50"/>
      <c r="I36" s="51"/>
    </row>
    <row r="37" spans="2:9" x14ac:dyDescent="0.25">
      <c r="B37" s="49"/>
      <c r="C37" s="50"/>
      <c r="D37" s="50"/>
      <c r="E37" s="50"/>
      <c r="F37" s="50"/>
      <c r="G37" s="50"/>
      <c r="H37" s="50"/>
      <c r="I37" s="51"/>
    </row>
    <row r="38" spans="2:9" x14ac:dyDescent="0.25">
      <c r="B38" s="49"/>
      <c r="C38" s="50"/>
      <c r="D38" s="50"/>
      <c r="E38" s="50"/>
      <c r="F38" s="50"/>
      <c r="G38" s="50"/>
      <c r="H38" s="50"/>
      <c r="I38" s="51"/>
    </row>
    <row r="39" spans="2:9" x14ac:dyDescent="0.25">
      <c r="B39" s="49"/>
      <c r="C39" s="50"/>
      <c r="D39" s="50"/>
      <c r="E39" s="50"/>
      <c r="F39" s="50"/>
      <c r="G39" s="50"/>
      <c r="H39" s="50"/>
      <c r="I39" s="51"/>
    </row>
    <row r="40" spans="2:9" ht="15.75" thickBot="1" x14ac:dyDescent="0.3">
      <c r="B40" s="52"/>
      <c r="C40" s="53"/>
      <c r="D40" s="53"/>
      <c r="E40" s="53"/>
      <c r="F40" s="53"/>
      <c r="G40" s="53"/>
      <c r="H40" s="53"/>
      <c r="I40" s="54"/>
    </row>
  </sheetData>
  <mergeCells count="13">
    <mergeCell ref="B25:I40"/>
    <mergeCell ref="C9:F9"/>
    <mergeCell ref="C10:F10"/>
    <mergeCell ref="C11:D11"/>
    <mergeCell ref="E23:F23"/>
    <mergeCell ref="G23:I23"/>
    <mergeCell ref="AW11:AX11"/>
    <mergeCell ref="F22:I22"/>
    <mergeCell ref="AE1:AK1"/>
    <mergeCell ref="AM1:AS1"/>
    <mergeCell ref="AO22:AQ22"/>
    <mergeCell ref="N1:T1"/>
    <mergeCell ref="W1:X1"/>
  </mergeCells>
  <dataValidations count="12">
    <dataValidation type="whole" allowBlank="1" showInputMessage="1" showErrorMessage="1" sqref="C19:C20" xr:uid="{4DDF1DAF-9C69-4AF8-A5AB-8068DAF21941}">
      <formula1>0</formula1>
      <formula2>12</formula2>
    </dataValidation>
    <dataValidation type="decimal" allowBlank="1" showInputMessage="1" showErrorMessage="1" errorTitle="Overall length too long or short" error="The overall length of the tool you selected is either tool long or too short. " sqref="D15" xr:uid="{933F32A9-1830-4721-9D79-03B62012300D}">
      <formula1>0.062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" xr:uid="{40979E34-DF8C-4BB3-82DE-67F431092FCB}">
      <formula1>2</formula1>
      <formula2>250</formula2>
    </dataValidation>
    <dataValidation type="decimal" allowBlank="1" showInputMessage="1" showErrorMessage="1" errorTitle="Bore too large or too small" error="Ther bore size you have entered is either too large or too small. " sqref="C15" xr:uid="{FB25C35B-AC71-46B2-94F3-B04CE204DE53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DE0E022-2791-42CB-BB42-97005BF96A1B}">
      <formula1>12</formula1>
      <formula2>200</formula2>
    </dataValidation>
    <dataValidation type="decimal" allowBlank="1" showInputMessage="1" showErrorMessage="1" errorTitle="Bore too large or too small " error="The diameter you have entered for the Bore is either too Large or too small " sqref="B15" xr:uid="{654FF583-45CC-4700-AC75-25BD6E0C44EC}">
      <formula1>0.5</formula1>
      <formula2>10</formula2>
    </dataValidation>
    <dataValidation type="decimal" allowBlank="1" showInputMessage="1" showErrorMessage="1" errorTitle="Bore too Large or too Small " error="The Diameter you have entered is either too large or too small of a bore size. " sqref="B14" xr:uid="{6EEE6829-BE56-48DC-875E-43FCE67B7217}">
      <formula1>16</formula1>
      <formula2>250</formula2>
    </dataValidation>
    <dataValidation type="whole" allowBlank="1" showInputMessage="1" showErrorMessage="1" errorTitle="Over Qty " error="Please contact Production for Pricing and Lead time _x000a_" sqref="I10" xr:uid="{FE37A125-CA71-4FD9-87D9-1718FAA92CAE}">
      <formula1>0</formula1>
      <formula2>100</formula2>
    </dataValidation>
    <dataValidation type="list" allowBlank="1" showInputMessage="1" showErrorMessage="1" sqref="C21 F14 G19" xr:uid="{9CD4A1ED-4733-40D8-A91A-26E7E6D53E7C}">
      <formula1>$P$4:$P$6</formula1>
    </dataValidation>
    <dataValidation type="list" allowBlank="1" showInputMessage="1" showErrorMessage="1" sqref="C11:D11" xr:uid="{04BB758F-80C4-4990-90F8-A11B53467E3B}">
      <formula1>$N$4:$N$7</formula1>
    </dataValidation>
    <dataValidation type="list" allowBlank="1" showInputMessage="1" showErrorMessage="1" sqref="E14" xr:uid="{63F19ADE-28B3-45EC-A2C6-5BBFE0FCFC77}">
      <formula1>$O$4:$O$6</formula1>
    </dataValidation>
    <dataValidation type="list" allowBlank="1" showInputMessage="1" showErrorMessage="1" sqref="I11" xr:uid="{DA08AF35-0A49-4BED-8D64-A6A1A33ADAC5}">
      <formula1>$Q$4:$Q$11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">
                <anchor moveWithCells="1" sizeWithCells="1">
                  <from>
                    <xdr:col>11</xdr:col>
                    <xdr:colOff>257175</xdr:colOff>
                    <xdr:row>16</xdr:row>
                    <xdr:rowOff>9525</xdr:rowOff>
                  </from>
                  <to>
                    <xdr:col>17</xdr:col>
                    <xdr:colOff>428625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 sizeWithCells="1">
                  <from>
                    <xdr:col>11</xdr:col>
                    <xdr:colOff>266700</xdr:colOff>
                    <xdr:row>23</xdr:row>
                    <xdr:rowOff>57150</xdr:rowOff>
                  </from>
                  <to>
                    <xdr:col>17</xdr:col>
                    <xdr:colOff>390525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5A4D-F62F-4ED7-BC8F-5562050876C6}">
  <sheetPr codeName="Sheet4"/>
  <dimension ref="A1:BN39"/>
  <sheetViews>
    <sheetView topLeftCell="T1" zoomScale="85" zoomScaleNormal="85" workbookViewId="0">
      <selection activeCell="AS10" sqref="AS10"/>
    </sheetView>
  </sheetViews>
  <sheetFormatPr defaultRowHeight="15" x14ac:dyDescent="0.25"/>
  <cols>
    <col min="1" max="1" width="10.28515625" bestFit="1" customWidth="1"/>
    <col min="2" max="2" width="10.140625" customWidth="1"/>
    <col min="3" max="3" width="10.7109375" bestFit="1" customWidth="1"/>
    <col min="4" max="5" width="10.140625" customWidth="1"/>
    <col min="6" max="6" width="10.5703125" customWidth="1"/>
    <col min="7" max="7" width="12.7109375" customWidth="1"/>
    <col min="8" max="8" width="11.7109375" customWidth="1"/>
    <col min="9" max="9" width="13.140625" bestFit="1" customWidth="1"/>
    <col min="10" max="10" width="8.7109375" customWidth="1"/>
    <col min="28" max="28" width="10.5703125" bestFit="1" customWidth="1"/>
    <col min="30" max="30" width="11.7109375" bestFit="1" customWidth="1"/>
    <col min="31" max="31" width="17.140625" bestFit="1" customWidth="1"/>
    <col min="32" max="32" width="12.42578125" bestFit="1" customWidth="1"/>
    <col min="36" max="36" width="33" bestFit="1" customWidth="1"/>
    <col min="37" max="37" width="57.140625" bestFit="1" customWidth="1"/>
    <col min="44" max="44" width="33.85546875" bestFit="1" customWidth="1"/>
    <col min="45" max="45" width="18.85546875" bestFit="1" customWidth="1"/>
    <col min="46" max="46" width="16.85546875" bestFit="1" customWidth="1"/>
    <col min="47" max="47" width="14.85546875" bestFit="1" customWidth="1"/>
    <col min="48" max="48" width="27.42578125" bestFit="1" customWidth="1"/>
    <col min="49" max="49" width="25.28515625" bestFit="1" customWidth="1"/>
    <col min="52" max="52" width="34.85546875" bestFit="1" customWidth="1"/>
    <col min="53" max="53" width="14" bestFit="1" customWidth="1"/>
    <col min="54" max="54" width="24.42578125" bestFit="1" customWidth="1"/>
    <col min="57" max="57" width="15" bestFit="1" customWidth="1"/>
    <col min="60" max="60" width="16.85546875" customWidth="1"/>
    <col min="61" max="61" width="9.28515625" bestFit="1" customWidth="1"/>
    <col min="62" max="62" width="17.140625" bestFit="1" customWidth="1"/>
    <col min="64" max="64" width="19" bestFit="1" customWidth="1"/>
  </cols>
  <sheetData>
    <row r="1" spans="1:66" ht="23.25" x14ac:dyDescent="0.35">
      <c r="AA1" s="44" t="s">
        <v>34</v>
      </c>
      <c r="AB1" s="44"/>
      <c r="AC1" s="44"/>
      <c r="AD1" s="44"/>
      <c r="AE1" s="44"/>
      <c r="AF1" s="44"/>
      <c r="AG1" s="44"/>
      <c r="AJ1" s="44" t="s">
        <v>35</v>
      </c>
      <c r="AK1" s="44"/>
      <c r="AL1" s="44"/>
      <c r="AM1" s="44"/>
      <c r="AN1" s="44"/>
      <c r="AO1" s="44"/>
      <c r="AP1" s="44"/>
      <c r="AR1" s="44" t="s">
        <v>55</v>
      </c>
      <c r="AS1" s="44"/>
      <c r="AT1" s="44"/>
      <c r="AU1" s="44"/>
      <c r="AV1" s="44"/>
      <c r="AW1" s="44"/>
      <c r="AX1" s="44"/>
      <c r="AZ1" s="44" t="s">
        <v>54</v>
      </c>
      <c r="BA1" s="44"/>
      <c r="BB1" s="44"/>
      <c r="BC1" s="44"/>
      <c r="BD1" s="44"/>
      <c r="BE1" s="44"/>
      <c r="BF1" s="44"/>
      <c r="BH1" s="22" t="s">
        <v>124</v>
      </c>
      <c r="BI1" s="22"/>
      <c r="BJ1" s="22"/>
      <c r="BK1" s="22"/>
      <c r="BL1" s="22"/>
      <c r="BM1" s="22"/>
      <c r="BN1" s="22"/>
    </row>
    <row r="2" spans="1:66" ht="20.45" customHeight="1" x14ac:dyDescent="0.25">
      <c r="AJ2" t="s">
        <v>36</v>
      </c>
      <c r="AK2" s="23"/>
      <c r="AR2" s="27" t="s">
        <v>56</v>
      </c>
      <c r="AS2" s="27" t="s">
        <v>57</v>
      </c>
      <c r="AT2" s="27" t="s">
        <v>58</v>
      </c>
      <c r="AU2" s="27" t="s">
        <v>59</v>
      </c>
      <c r="AV2" s="27" t="s">
        <v>60</v>
      </c>
      <c r="AW2" s="27" t="s">
        <v>61</v>
      </c>
    </row>
    <row r="3" spans="1:66" ht="20.45" customHeight="1" x14ac:dyDescent="0.25">
      <c r="AA3" s="24"/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152</v>
      </c>
      <c r="AJ3" t="s">
        <v>42</v>
      </c>
      <c r="AK3" s="23"/>
      <c r="AR3" t="s">
        <v>36</v>
      </c>
      <c r="AS3" t="s">
        <v>158</v>
      </c>
      <c r="AT3" t="s">
        <v>63</v>
      </c>
      <c r="AU3" s="28">
        <v>100100149</v>
      </c>
      <c r="AV3" t="s">
        <v>158</v>
      </c>
      <c r="AW3" t="s">
        <v>63</v>
      </c>
      <c r="AZ3" s="24" t="s">
        <v>62</v>
      </c>
      <c r="BA3" s="38"/>
      <c r="BH3">
        <v>0</v>
      </c>
      <c r="BI3" t="s">
        <v>129</v>
      </c>
      <c r="BL3">
        <f>IF($I$10=BH3,BI3,0)</f>
        <v>0</v>
      </c>
    </row>
    <row r="4" spans="1:66" ht="20.45" customHeight="1" x14ac:dyDescent="0.25">
      <c r="AB4" t="s">
        <v>25</v>
      </c>
      <c r="AC4" t="s">
        <v>25</v>
      </c>
      <c r="AD4" s="25">
        <v>0</v>
      </c>
      <c r="AE4">
        <v>10</v>
      </c>
      <c r="AF4" t="s">
        <v>153</v>
      </c>
      <c r="AJ4" t="s">
        <v>44</v>
      </c>
      <c r="AK4" s="26">
        <v>44992</v>
      </c>
      <c r="AR4" t="s">
        <v>42</v>
      </c>
      <c r="AS4" t="s">
        <v>158</v>
      </c>
      <c r="AT4" t="s">
        <v>64</v>
      </c>
      <c r="AU4" s="28" t="s">
        <v>159</v>
      </c>
      <c r="AV4" t="s">
        <v>158</v>
      </c>
      <c r="AW4" t="s">
        <v>64</v>
      </c>
      <c r="AZ4" s="24" t="s">
        <v>25</v>
      </c>
      <c r="BA4" s="38">
        <v>-10000</v>
      </c>
      <c r="BE4" s="29">
        <f>IF(AZ5=$F$14,BA5,0)</f>
        <v>20</v>
      </c>
      <c r="BH4">
        <v>1</v>
      </c>
      <c r="BI4" s="29">
        <f>BE19*BE18*BK4</f>
        <v>102.5025</v>
      </c>
      <c r="BJ4" t="s">
        <v>132</v>
      </c>
      <c r="BK4">
        <f>1-AU14</f>
        <v>0.75</v>
      </c>
      <c r="BL4">
        <f>IF($I$10=BH4,BI4,0)</f>
        <v>0</v>
      </c>
    </row>
    <row r="5" spans="1:66" ht="20.45" customHeight="1" x14ac:dyDescent="0.25">
      <c r="AB5" t="s">
        <v>13</v>
      </c>
      <c r="AC5" t="s">
        <v>14</v>
      </c>
      <c r="AD5" s="25">
        <v>0.05</v>
      </c>
      <c r="AJ5" t="s">
        <v>45</v>
      </c>
      <c r="AK5" s="23" t="s">
        <v>154</v>
      </c>
      <c r="AR5" t="s">
        <v>50</v>
      </c>
      <c r="AS5" t="s">
        <v>158</v>
      </c>
      <c r="AT5" t="s">
        <v>67</v>
      </c>
      <c r="AU5" s="28" t="s">
        <v>155</v>
      </c>
      <c r="AV5" t="s">
        <v>158</v>
      </c>
      <c r="AW5" t="s">
        <v>67</v>
      </c>
      <c r="AZ5" t="s">
        <v>13</v>
      </c>
      <c r="BA5" s="29">
        <v>20</v>
      </c>
      <c r="BB5" t="s">
        <v>66</v>
      </c>
      <c r="BE5" s="29">
        <f>IF(AZ6=$F$14,BA6,0)</f>
        <v>0</v>
      </c>
      <c r="BH5">
        <v>2</v>
      </c>
      <c r="BI5" s="29">
        <f>$BI$4*BK5</f>
        <v>99.427424999999999</v>
      </c>
      <c r="BJ5" t="s">
        <v>135</v>
      </c>
      <c r="BK5">
        <v>0.97</v>
      </c>
      <c r="BL5">
        <f>IF($I$10=BH5,BI5,0)</f>
        <v>0</v>
      </c>
    </row>
    <row r="6" spans="1:66" ht="20.45" customHeight="1" x14ac:dyDescent="0.25">
      <c r="AB6" t="s">
        <v>48</v>
      </c>
      <c r="AC6" t="s">
        <v>29</v>
      </c>
      <c r="AD6" s="25">
        <v>0.1</v>
      </c>
      <c r="AJ6" t="s">
        <v>50</v>
      </c>
      <c r="AK6" s="23" t="s">
        <v>155</v>
      </c>
      <c r="AR6" t="s">
        <v>44</v>
      </c>
      <c r="AS6" t="s">
        <v>158</v>
      </c>
      <c r="AT6" t="s">
        <v>68</v>
      </c>
      <c r="AU6" s="30">
        <v>44992</v>
      </c>
      <c r="AV6" t="s">
        <v>158</v>
      </c>
      <c r="AW6" t="s">
        <v>68</v>
      </c>
      <c r="AZ6" t="s">
        <v>48</v>
      </c>
      <c r="BA6" s="29">
        <v>35</v>
      </c>
      <c r="BB6" t="s">
        <v>66</v>
      </c>
      <c r="BE6" s="29">
        <f>IF(AZ6=$F$14,BA6,0)</f>
        <v>0</v>
      </c>
      <c r="BH6">
        <v>3</v>
      </c>
      <c r="BI6" s="29">
        <f t="shared" ref="BI6:BI7" si="0">$BI$4*BK6</f>
        <v>97.377374999999986</v>
      </c>
      <c r="BJ6" t="s">
        <v>138</v>
      </c>
      <c r="BK6">
        <v>0.95</v>
      </c>
      <c r="BL6">
        <f>IF(AND($I$10&gt;=BH6,$I$10&lt;5),BI6,0)</f>
        <v>0</v>
      </c>
    </row>
    <row r="7" spans="1:66" ht="20.45" customHeight="1" x14ac:dyDescent="0.25">
      <c r="AD7" s="25">
        <v>0.15</v>
      </c>
      <c r="AJ7" t="s">
        <v>52</v>
      </c>
      <c r="AK7" s="23">
        <v>110.47499999999999</v>
      </c>
      <c r="AR7" t="s">
        <v>71</v>
      </c>
      <c r="AS7" t="s">
        <v>158</v>
      </c>
      <c r="AT7" t="s">
        <v>160</v>
      </c>
      <c r="AU7" s="28" t="s">
        <v>153</v>
      </c>
      <c r="AV7" t="s">
        <v>158</v>
      </c>
      <c r="AW7" t="s">
        <v>85</v>
      </c>
      <c r="AZ7" t="s">
        <v>69</v>
      </c>
      <c r="BA7" s="31">
        <f>B16*D16</f>
        <v>2666.9999999999995</v>
      </c>
      <c r="BB7" t="s">
        <v>70</v>
      </c>
      <c r="BC7">
        <v>0.01</v>
      </c>
      <c r="BE7" s="29">
        <f>IF((BC7*BA7)&gt;0,BC7*BA7,-10000)</f>
        <v>26.669999999999995</v>
      </c>
      <c r="BH7">
        <v>5</v>
      </c>
      <c r="BI7" s="29">
        <f t="shared" si="0"/>
        <v>92.252250000000004</v>
      </c>
      <c r="BJ7" t="s">
        <v>141</v>
      </c>
      <c r="BK7">
        <v>0.9</v>
      </c>
      <c r="BL7">
        <f>IF(AND($I$10&gt;=BH6,$I$10&lt;5),BI6,0)</f>
        <v>0</v>
      </c>
    </row>
    <row r="8" spans="1:66" ht="69.75" customHeight="1" x14ac:dyDescent="0.25">
      <c r="AD8" s="25">
        <v>0.2</v>
      </c>
      <c r="AJ8" t="s">
        <v>156</v>
      </c>
      <c r="AK8" s="23" t="s">
        <v>153</v>
      </c>
      <c r="AR8" t="s">
        <v>74</v>
      </c>
      <c r="AS8" t="s">
        <v>161</v>
      </c>
      <c r="AT8" t="s">
        <v>75</v>
      </c>
      <c r="AU8" s="28">
        <v>123456</v>
      </c>
      <c r="AV8" t="s">
        <v>161</v>
      </c>
      <c r="AW8" t="s">
        <v>75</v>
      </c>
      <c r="AZ8" s="24" t="s">
        <v>73</v>
      </c>
      <c r="BH8">
        <v>10</v>
      </c>
      <c r="BI8" s="29">
        <f>BE23*BE22*BK8</f>
        <v>0</v>
      </c>
      <c r="BJ8" t="s">
        <v>144</v>
      </c>
      <c r="BK8">
        <v>0.85</v>
      </c>
      <c r="BL8">
        <f>IF(AND($I$10&gt;=BH7,$I$10&lt;10),BI7,0)</f>
        <v>0</v>
      </c>
    </row>
    <row r="9" spans="1:66" ht="22.5" customHeight="1" x14ac:dyDescent="0.35">
      <c r="B9" s="1" t="s">
        <v>0</v>
      </c>
      <c r="C9" s="73">
        <v>1212</v>
      </c>
      <c r="D9" s="74"/>
      <c r="E9" s="74"/>
      <c r="F9" s="74"/>
      <c r="H9" s="2" t="s">
        <v>1</v>
      </c>
      <c r="I9" s="3">
        <f ca="1">TODAY()</f>
        <v>45198</v>
      </c>
      <c r="AD9" s="25">
        <v>0.25</v>
      </c>
      <c r="AJ9" t="s">
        <v>157</v>
      </c>
      <c r="AK9" s="23">
        <v>10</v>
      </c>
      <c r="AR9" t="s">
        <v>78</v>
      </c>
      <c r="AS9" t="s">
        <v>161</v>
      </c>
      <c r="AT9" t="s">
        <v>162</v>
      </c>
      <c r="AU9" s="28" t="str">
        <f>E22</f>
        <v>76.2mm/101.6mmD X 25.4mmB X 35mmL Steel T-Bushing</v>
      </c>
      <c r="AV9" t="s">
        <v>158</v>
      </c>
      <c r="AW9" t="s">
        <v>80</v>
      </c>
      <c r="AZ9" t="s">
        <v>76</v>
      </c>
      <c r="BA9" s="29">
        <v>30</v>
      </c>
      <c r="BB9" t="s">
        <v>77</v>
      </c>
      <c r="BE9" s="32">
        <v>30</v>
      </c>
      <c r="BH9">
        <v>25</v>
      </c>
      <c r="BI9" s="29">
        <f>$BI$4*BK9</f>
        <v>82.00200000000001</v>
      </c>
      <c r="BJ9" t="s">
        <v>145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73"/>
      <c r="D10" s="74"/>
      <c r="E10" s="74"/>
      <c r="F10" s="74"/>
      <c r="H10" s="1" t="s">
        <v>3</v>
      </c>
      <c r="I10" s="4">
        <v>50</v>
      </c>
      <c r="AD10" s="25">
        <v>0.3</v>
      </c>
      <c r="AR10" t="s">
        <v>83</v>
      </c>
      <c r="AS10" t="s">
        <v>158</v>
      </c>
      <c r="AT10" t="s">
        <v>84</v>
      </c>
      <c r="AU10" s="28">
        <v>10</v>
      </c>
      <c r="AV10" t="s">
        <v>158</v>
      </c>
      <c r="AW10" t="s">
        <v>163</v>
      </c>
      <c r="AZ10" t="s">
        <v>81</v>
      </c>
      <c r="BA10" s="29">
        <v>15</v>
      </c>
      <c r="BB10" t="s">
        <v>87</v>
      </c>
      <c r="BE10" s="33">
        <f>IF(C19&gt;0,15+((C19-1)*5),0)</f>
        <v>15</v>
      </c>
      <c r="BH10">
        <v>50</v>
      </c>
      <c r="BI10" s="29">
        <f t="shared" ref="BI10" si="1">$BI$4*BK10</f>
        <v>79.951949999999997</v>
      </c>
      <c r="BJ10" t="s">
        <v>146</v>
      </c>
      <c r="BK10">
        <v>0.78</v>
      </c>
      <c r="BL10">
        <f>IF($I$10&gt;=BH10,BI10,0)</f>
        <v>79.951949999999997</v>
      </c>
    </row>
    <row r="11" spans="1:66" ht="28.5" x14ac:dyDescent="0.45">
      <c r="B11" s="1"/>
      <c r="C11" s="75"/>
      <c r="D11" s="75"/>
      <c r="E11" s="5" t="str">
        <f>IF(C11="T-Bushing","** Price is for 1pc not a set","")</f>
        <v/>
      </c>
      <c r="F11" s="6"/>
      <c r="G11" s="6"/>
      <c r="H11" s="1" t="s">
        <v>6</v>
      </c>
      <c r="I11" s="7">
        <v>0.25</v>
      </c>
      <c r="AD11" s="25">
        <v>0.35</v>
      </c>
      <c r="AR11" t="s">
        <v>88</v>
      </c>
      <c r="AS11" t="s">
        <v>161</v>
      </c>
      <c r="AT11" t="s">
        <v>89</v>
      </c>
      <c r="AU11" s="28">
        <f>I10</f>
        <v>50</v>
      </c>
      <c r="AV11" t="s">
        <v>161</v>
      </c>
      <c r="AW11" t="s">
        <v>89</v>
      </c>
      <c r="AZ11" t="s">
        <v>86</v>
      </c>
      <c r="BA11" s="29">
        <v>10</v>
      </c>
      <c r="BB11" t="s">
        <v>87</v>
      </c>
      <c r="BE11" s="33">
        <f>IF(C20&gt;0,15+((C20-1)*5),0)</f>
        <v>15</v>
      </c>
      <c r="BI11" s="29"/>
      <c r="BJ11" s="42" t="s">
        <v>147</v>
      </c>
      <c r="BK11" s="42"/>
      <c r="BL11" s="34">
        <f>SUM(BL4:BL10)</f>
        <v>79.951949999999997</v>
      </c>
    </row>
    <row r="12" spans="1:66" x14ac:dyDescent="0.25">
      <c r="AR12" t="s">
        <v>91</v>
      </c>
      <c r="AS12" t="s">
        <v>161</v>
      </c>
      <c r="AT12" t="s">
        <v>92</v>
      </c>
      <c r="AU12" s="39">
        <f>G23</f>
        <v>79.951949999999997</v>
      </c>
      <c r="AV12" t="s">
        <v>158</v>
      </c>
      <c r="AW12" t="s">
        <v>93</v>
      </c>
      <c r="AZ12" t="s">
        <v>94</v>
      </c>
      <c r="BA12" s="29">
        <v>30</v>
      </c>
      <c r="BE12" s="33">
        <f>IF($G$19="Yes",BA12,0)</f>
        <v>30</v>
      </c>
    </row>
    <row r="13" spans="1:66" ht="30" x14ac:dyDescent="0.25">
      <c r="A13" s="8"/>
      <c r="B13" s="10" t="s">
        <v>148</v>
      </c>
      <c r="C13" s="10" t="s">
        <v>149</v>
      </c>
      <c r="D13" s="10" t="s">
        <v>9</v>
      </c>
      <c r="E13" s="10" t="s">
        <v>150</v>
      </c>
      <c r="F13" s="11" t="s">
        <v>10</v>
      </c>
      <c r="G13" s="10" t="s">
        <v>151</v>
      </c>
      <c r="AR13" t="s">
        <v>95</v>
      </c>
      <c r="AS13" t="s">
        <v>161</v>
      </c>
      <c r="AT13" t="s">
        <v>96</v>
      </c>
      <c r="AU13" s="28"/>
      <c r="AV13" t="s">
        <v>161</v>
      </c>
      <c r="AW13" t="s">
        <v>96</v>
      </c>
      <c r="AZ13" t="s">
        <v>164</v>
      </c>
      <c r="BA13" s="29">
        <v>40</v>
      </c>
      <c r="BE13" s="33">
        <f>IF($G$14="Yes",BA13,0)</f>
        <v>0</v>
      </c>
    </row>
    <row r="14" spans="1:66" x14ac:dyDescent="0.25">
      <c r="A14" s="2" t="s">
        <v>12</v>
      </c>
      <c r="B14" s="12"/>
      <c r="C14" s="12"/>
      <c r="D14" s="12">
        <v>35</v>
      </c>
      <c r="E14" s="12">
        <v>25.4</v>
      </c>
      <c r="F14" s="13" t="s">
        <v>13</v>
      </c>
      <c r="G14" s="14" t="s">
        <v>29</v>
      </c>
      <c r="AR14" t="s">
        <v>99</v>
      </c>
      <c r="AS14" t="s">
        <v>161</v>
      </c>
      <c r="AT14" t="s">
        <v>100</v>
      </c>
      <c r="AU14" s="40">
        <f>I11</f>
        <v>0.25</v>
      </c>
      <c r="AV14" t="s">
        <v>161</v>
      </c>
      <c r="AW14" t="s">
        <v>100</v>
      </c>
      <c r="AZ14" t="s">
        <v>98</v>
      </c>
      <c r="BA14" s="29">
        <v>40</v>
      </c>
      <c r="BE14" s="33">
        <f>IF($C$21="Yes",BA14,0)</f>
        <v>0</v>
      </c>
    </row>
    <row r="15" spans="1:66" x14ac:dyDescent="0.25">
      <c r="A15" s="2" t="s">
        <v>15</v>
      </c>
      <c r="B15" s="15">
        <v>3</v>
      </c>
      <c r="C15" s="16">
        <v>4</v>
      </c>
      <c r="D15" s="16"/>
      <c r="E15" s="16"/>
      <c r="AR15" t="s">
        <v>165</v>
      </c>
      <c r="AS15" t="s">
        <v>161</v>
      </c>
      <c r="AT15" t="s">
        <v>103</v>
      </c>
      <c r="AU15" s="41">
        <f>B16</f>
        <v>76.199999999999989</v>
      </c>
      <c r="AV15" t="s">
        <v>161</v>
      </c>
      <c r="AW15" t="s">
        <v>104</v>
      </c>
      <c r="AZ15" s="24" t="s">
        <v>101</v>
      </c>
      <c r="BA15" s="29"/>
    </row>
    <row r="16" spans="1:66" x14ac:dyDescent="0.25">
      <c r="A16" s="2" t="s">
        <v>16</v>
      </c>
      <c r="B16" s="17">
        <f>IF(B14&gt;0,IF(B15&gt;0,"Error",B14),B15*25.4)</f>
        <v>76.199999999999989</v>
      </c>
      <c r="C16" s="17">
        <f>IF(C14&gt;0,IF(C15&gt;0,"Error",C14),C15*25.4)</f>
        <v>101.6</v>
      </c>
      <c r="D16" s="17">
        <f>IF(D14&gt;0,IF(D15&gt;0,"Error",D14),D15*25.4)</f>
        <v>35</v>
      </c>
      <c r="E16" s="17">
        <f>IF(E14&gt;0,IF(E15&gt;0,"Error",E14),E15*25.4)</f>
        <v>25.4</v>
      </c>
      <c r="AR16" t="s">
        <v>166</v>
      </c>
      <c r="AS16" t="s">
        <v>161</v>
      </c>
      <c r="AT16" t="s">
        <v>106</v>
      </c>
      <c r="AU16" s="41">
        <f>C16</f>
        <v>101.6</v>
      </c>
      <c r="AV16" t="s">
        <v>161</v>
      </c>
      <c r="AW16" t="s">
        <v>107</v>
      </c>
      <c r="AZ16" t="s">
        <v>167</v>
      </c>
      <c r="BA16" s="29">
        <v>40</v>
      </c>
      <c r="BE16" s="33">
        <f>IF($C$11,BA16,0)</f>
        <v>0</v>
      </c>
    </row>
    <row r="17" spans="1:57" ht="18" customHeight="1" x14ac:dyDescent="0.25">
      <c r="AR17" t="s">
        <v>105</v>
      </c>
      <c r="AS17" t="s">
        <v>161</v>
      </c>
      <c r="AT17" t="s">
        <v>168</v>
      </c>
      <c r="AU17" s="28" t="s">
        <v>169</v>
      </c>
      <c r="AV17" t="s">
        <v>161</v>
      </c>
      <c r="AW17" t="s">
        <v>112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108</v>
      </c>
      <c r="AS18" t="s">
        <v>161</v>
      </c>
      <c r="AT18" t="s">
        <v>109</v>
      </c>
      <c r="AU18" s="41">
        <f>D16</f>
        <v>35</v>
      </c>
      <c r="AV18" t="s">
        <v>161</v>
      </c>
      <c r="AW18" t="s">
        <v>110</v>
      </c>
      <c r="BD18" t="s">
        <v>116</v>
      </c>
      <c r="BE18" s="29">
        <f>SUM(BE4:BE16)</f>
        <v>136.66999999999999</v>
      </c>
    </row>
    <row r="19" spans="1:57" x14ac:dyDescent="0.25">
      <c r="B19" s="2" t="s">
        <v>23</v>
      </c>
      <c r="C19" s="19">
        <v>1</v>
      </c>
      <c r="D19" s="14"/>
      <c r="E19" s="13"/>
      <c r="F19" s="2" t="s">
        <v>24</v>
      </c>
      <c r="G19" s="14" t="s">
        <v>14</v>
      </c>
      <c r="H19" s="14">
        <v>1</v>
      </c>
      <c r="I19" s="14">
        <v>1</v>
      </c>
      <c r="AR19" t="s">
        <v>111</v>
      </c>
      <c r="AS19" t="s">
        <v>161</v>
      </c>
      <c r="AT19" t="s">
        <v>113</v>
      </c>
      <c r="AU19" s="41">
        <f>E16</f>
        <v>25.4</v>
      </c>
      <c r="AV19" t="s">
        <v>161</v>
      </c>
      <c r="AW19" t="s">
        <v>113</v>
      </c>
      <c r="BB19" s="45" t="s">
        <v>119</v>
      </c>
      <c r="BC19" s="45"/>
      <c r="BD19" s="45"/>
      <c r="BE19">
        <v>1</v>
      </c>
    </row>
    <row r="20" spans="1:57" x14ac:dyDescent="0.25">
      <c r="B20" s="2" t="s">
        <v>26</v>
      </c>
      <c r="C20" s="19">
        <v>1</v>
      </c>
      <c r="D20" s="14"/>
      <c r="E20" s="14"/>
      <c r="G20" t="s">
        <v>27</v>
      </c>
      <c r="AR20" t="s">
        <v>170</v>
      </c>
      <c r="AS20" t="s">
        <v>161</v>
      </c>
      <c r="AT20" t="s">
        <v>171</v>
      </c>
      <c r="AU20" s="28" t="str">
        <f>G14</f>
        <v>No</v>
      </c>
      <c r="AV20" t="s">
        <v>161</v>
      </c>
      <c r="AW20" t="s">
        <v>171</v>
      </c>
    </row>
    <row r="21" spans="1:57" x14ac:dyDescent="0.25">
      <c r="B21" s="2" t="s">
        <v>28</v>
      </c>
      <c r="C21" s="16" t="s">
        <v>29</v>
      </c>
      <c r="D21" s="20" t="s">
        <v>30</v>
      </c>
      <c r="AR21" t="s">
        <v>114</v>
      </c>
      <c r="AS21" t="s">
        <v>161</v>
      </c>
      <c r="AT21" t="s">
        <v>115</v>
      </c>
      <c r="AU21" s="36">
        <f>C19</f>
        <v>1</v>
      </c>
      <c r="AV21" t="s">
        <v>161</v>
      </c>
      <c r="AW21" t="s">
        <v>115</v>
      </c>
    </row>
    <row r="22" spans="1:57" ht="19.5" customHeight="1" x14ac:dyDescent="0.25">
      <c r="B22" s="2"/>
      <c r="E22" s="43" t="str">
        <f>B16 &amp; "mm/" &amp; C16 &amp; "mmD X " &amp;E16 &amp; "mmB X " &amp; D16 &amp; "mmL " &amp;F14 &amp; " T-Bushing"</f>
        <v>76.2mm/101.6mmD X 25.4mmB X 35mmL Steel T-Bushing</v>
      </c>
      <c r="F22" s="43"/>
      <c r="G22" s="43"/>
      <c r="H22" s="43"/>
      <c r="I22" s="43"/>
      <c r="AR22" t="s">
        <v>117</v>
      </c>
      <c r="AS22" t="s">
        <v>161</v>
      </c>
      <c r="AT22" t="s">
        <v>118</v>
      </c>
      <c r="AU22" s="28">
        <f>D19</f>
        <v>0</v>
      </c>
      <c r="AV22" t="s">
        <v>161</v>
      </c>
      <c r="AW22" t="s">
        <v>118</v>
      </c>
    </row>
    <row r="23" spans="1:57" ht="30" customHeight="1" x14ac:dyDescent="0.25">
      <c r="E23" s="76" t="s">
        <v>32</v>
      </c>
      <c r="F23" s="76"/>
      <c r="G23" s="77">
        <f>IF(BL11&gt;0,BL11*(1-I12),"Error")</f>
        <v>79.951949999999997</v>
      </c>
      <c r="H23" s="77"/>
      <c r="I23" s="77"/>
      <c r="AR23" t="s">
        <v>120</v>
      </c>
      <c r="AS23" t="s">
        <v>161</v>
      </c>
      <c r="AT23" t="s">
        <v>121</v>
      </c>
      <c r="AU23" s="28">
        <f>E19</f>
        <v>0</v>
      </c>
      <c r="AV23" t="s">
        <v>161</v>
      </c>
      <c r="AW23" t="s">
        <v>121</v>
      </c>
    </row>
    <row r="24" spans="1:57" ht="32.25" customHeight="1" thickBot="1" x14ac:dyDescent="0.45">
      <c r="E24" s="21"/>
      <c r="F24" s="21"/>
      <c r="G24" s="37"/>
      <c r="H24" s="37"/>
      <c r="I24" s="37"/>
      <c r="AR24" t="s">
        <v>122</v>
      </c>
      <c r="AS24" t="s">
        <v>161</v>
      </c>
      <c r="AT24" t="s">
        <v>123</v>
      </c>
      <c r="AU24" s="36">
        <f>C20</f>
        <v>1</v>
      </c>
      <c r="AV24" t="s">
        <v>161</v>
      </c>
      <c r="AW24" t="s">
        <v>123</v>
      </c>
    </row>
    <row r="25" spans="1:57" ht="21" x14ac:dyDescent="0.35">
      <c r="A25" s="1" t="s">
        <v>33</v>
      </c>
      <c r="B25" s="64"/>
      <c r="C25" s="65"/>
      <c r="D25" s="65"/>
      <c r="E25" s="65"/>
      <c r="F25" s="65"/>
      <c r="G25" s="65"/>
      <c r="H25" s="65"/>
      <c r="I25" s="66"/>
      <c r="AR25" t="s">
        <v>125</v>
      </c>
      <c r="AS25" t="s">
        <v>161</v>
      </c>
      <c r="AT25" t="s">
        <v>126</v>
      </c>
      <c r="AU25" s="28">
        <f>D20</f>
        <v>0</v>
      </c>
      <c r="AV25" t="s">
        <v>161</v>
      </c>
      <c r="AW25" t="s">
        <v>126</v>
      </c>
    </row>
    <row r="26" spans="1:57" x14ac:dyDescent="0.25">
      <c r="B26" s="67"/>
      <c r="C26" s="68"/>
      <c r="D26" s="68"/>
      <c r="E26" s="68"/>
      <c r="F26" s="68"/>
      <c r="G26" s="68"/>
      <c r="H26" s="68"/>
      <c r="I26" s="69"/>
      <c r="AR26" t="s">
        <v>127</v>
      </c>
      <c r="AS26" t="s">
        <v>161</v>
      </c>
      <c r="AT26" t="s">
        <v>128</v>
      </c>
      <c r="AU26" s="28">
        <f>E20</f>
        <v>0</v>
      </c>
      <c r="AV26" t="s">
        <v>161</v>
      </c>
      <c r="AW26" t="s">
        <v>128</v>
      </c>
    </row>
    <row r="27" spans="1:57" x14ac:dyDescent="0.25">
      <c r="B27" s="67"/>
      <c r="C27" s="68"/>
      <c r="D27" s="68"/>
      <c r="E27" s="68"/>
      <c r="F27" s="68"/>
      <c r="G27" s="68"/>
      <c r="H27" s="68"/>
      <c r="I27" s="69"/>
      <c r="AR27" t="s">
        <v>130</v>
      </c>
      <c r="AS27" t="s">
        <v>161</v>
      </c>
      <c r="AT27" t="s">
        <v>131</v>
      </c>
      <c r="AU27" s="35" t="str">
        <f>C21</f>
        <v>No</v>
      </c>
      <c r="AV27" t="s">
        <v>161</v>
      </c>
      <c r="AW27" t="s">
        <v>131</v>
      </c>
    </row>
    <row r="28" spans="1:57" x14ac:dyDescent="0.25">
      <c r="B28" s="67"/>
      <c r="C28" s="68"/>
      <c r="D28" s="68"/>
      <c r="E28" s="68"/>
      <c r="F28" s="68"/>
      <c r="G28" s="68"/>
      <c r="H28" s="68"/>
      <c r="I28" s="69"/>
      <c r="AR28" t="s">
        <v>133</v>
      </c>
      <c r="AS28" t="s">
        <v>161</v>
      </c>
      <c r="AT28" t="s">
        <v>134</v>
      </c>
      <c r="AU28" s="28" t="str">
        <f>G19</f>
        <v>Yes</v>
      </c>
      <c r="AV28" t="s">
        <v>161</v>
      </c>
      <c r="AW28" t="s">
        <v>134</v>
      </c>
    </row>
    <row r="29" spans="1:57" x14ac:dyDescent="0.25">
      <c r="B29" s="67"/>
      <c r="C29" s="68"/>
      <c r="D29" s="68"/>
      <c r="E29" s="68"/>
      <c r="F29" s="68"/>
      <c r="G29" s="68"/>
      <c r="H29" s="68"/>
      <c r="I29" s="69"/>
      <c r="AR29" t="s">
        <v>136</v>
      </c>
      <c r="AS29" t="s">
        <v>161</v>
      </c>
      <c r="AT29" t="s">
        <v>137</v>
      </c>
      <c r="AU29" s="28">
        <f>H19</f>
        <v>1</v>
      </c>
      <c r="AV29" t="s">
        <v>161</v>
      </c>
      <c r="AW29" t="s">
        <v>137</v>
      </c>
    </row>
    <row r="30" spans="1:57" x14ac:dyDescent="0.25">
      <c r="B30" s="67"/>
      <c r="C30" s="68"/>
      <c r="D30" s="68"/>
      <c r="E30" s="68"/>
      <c r="F30" s="68"/>
      <c r="G30" s="68"/>
      <c r="H30" s="68"/>
      <c r="I30" s="69"/>
      <c r="AR30" t="s">
        <v>139</v>
      </c>
      <c r="AS30" t="s">
        <v>161</v>
      </c>
      <c r="AT30" t="s">
        <v>140</v>
      </c>
      <c r="AU30" s="28">
        <f>I19</f>
        <v>1</v>
      </c>
      <c r="AV30" t="s">
        <v>161</v>
      </c>
      <c r="AW30" t="s">
        <v>140</v>
      </c>
    </row>
    <row r="31" spans="1:57" x14ac:dyDescent="0.25">
      <c r="B31" s="67"/>
      <c r="C31" s="68"/>
      <c r="D31" s="68"/>
      <c r="E31" s="68"/>
      <c r="F31" s="68"/>
      <c r="G31" s="68"/>
      <c r="H31" s="68"/>
      <c r="I31" s="69"/>
      <c r="AR31" t="s">
        <v>142</v>
      </c>
      <c r="AS31" t="s">
        <v>161</v>
      </c>
      <c r="AT31" t="s">
        <v>143</v>
      </c>
      <c r="AU31" s="28">
        <f>B25</f>
        <v>0</v>
      </c>
      <c r="AV31" t="s">
        <v>161</v>
      </c>
      <c r="AW31" t="s">
        <v>143</v>
      </c>
    </row>
    <row r="32" spans="1:57" x14ac:dyDescent="0.25">
      <c r="B32" s="67"/>
      <c r="C32" s="68"/>
      <c r="D32" s="68"/>
      <c r="E32" s="68"/>
      <c r="F32" s="68"/>
      <c r="G32" s="68"/>
      <c r="H32" s="68"/>
      <c r="I32" s="69"/>
    </row>
    <row r="33" spans="2:9" x14ac:dyDescent="0.25">
      <c r="B33" s="67"/>
      <c r="C33" s="68"/>
      <c r="D33" s="68"/>
      <c r="E33" s="68"/>
      <c r="F33" s="68"/>
      <c r="G33" s="68"/>
      <c r="H33" s="68"/>
      <c r="I33" s="69"/>
    </row>
    <row r="34" spans="2:9" x14ac:dyDescent="0.25">
      <c r="B34" s="67"/>
      <c r="C34" s="68"/>
      <c r="D34" s="68"/>
      <c r="E34" s="68"/>
      <c r="F34" s="68"/>
      <c r="G34" s="68"/>
      <c r="H34" s="68"/>
      <c r="I34" s="69"/>
    </row>
    <row r="35" spans="2:9" x14ac:dyDescent="0.25">
      <c r="B35" s="67"/>
      <c r="C35" s="68"/>
      <c r="D35" s="68"/>
      <c r="E35" s="68"/>
      <c r="F35" s="68"/>
      <c r="G35" s="68"/>
      <c r="H35" s="68"/>
      <c r="I35" s="69"/>
    </row>
    <row r="36" spans="2:9" x14ac:dyDescent="0.25">
      <c r="B36" s="67"/>
      <c r="C36" s="68"/>
      <c r="D36" s="68"/>
      <c r="E36" s="68"/>
      <c r="F36" s="68"/>
      <c r="G36" s="68"/>
      <c r="H36" s="68"/>
      <c r="I36" s="69"/>
    </row>
    <row r="37" spans="2:9" x14ac:dyDescent="0.25">
      <c r="B37" s="67"/>
      <c r="C37" s="68"/>
      <c r="D37" s="68"/>
      <c r="E37" s="68"/>
      <c r="F37" s="68"/>
      <c r="G37" s="68"/>
      <c r="H37" s="68"/>
      <c r="I37" s="69"/>
    </row>
    <row r="38" spans="2:9" x14ac:dyDescent="0.25">
      <c r="B38" s="67"/>
      <c r="C38" s="68"/>
      <c r="D38" s="68"/>
      <c r="E38" s="68"/>
      <c r="F38" s="68"/>
      <c r="G38" s="68"/>
      <c r="H38" s="68"/>
      <c r="I38" s="69"/>
    </row>
    <row r="39" spans="2:9" ht="15.75" thickBot="1" x14ac:dyDescent="0.3">
      <c r="B39" s="70"/>
      <c r="C39" s="71"/>
      <c r="D39" s="71"/>
      <c r="E39" s="71"/>
      <c r="F39" s="71"/>
      <c r="G39" s="71"/>
      <c r="H39" s="71"/>
      <c r="I39" s="72"/>
    </row>
  </sheetData>
  <mergeCells count="13">
    <mergeCell ref="BB19:BD19"/>
    <mergeCell ref="B25:I39"/>
    <mergeCell ref="C9:F9"/>
    <mergeCell ref="C10:F10"/>
    <mergeCell ref="C11:D11"/>
    <mergeCell ref="E22:I22"/>
    <mergeCell ref="E23:F23"/>
    <mergeCell ref="G23:I23"/>
    <mergeCell ref="BJ11:BK11"/>
    <mergeCell ref="AA1:AG1"/>
    <mergeCell ref="AJ1:AP1"/>
    <mergeCell ref="AR1:AX1"/>
    <mergeCell ref="AZ1:BF1"/>
  </mergeCells>
  <dataValidations count="11">
    <dataValidation type="whole" allowBlank="1" showInputMessage="1" showErrorMessage="1" errorTitle="Over Qty " error="Please contact Production for Pricing and Lead time _x000a_" sqref="I10" xr:uid="{EE41B04B-72F1-4C09-8D61-38F894B6205B}">
      <formula1>0</formula1>
      <formula2>100</formula2>
    </dataValidation>
    <dataValidation type="decimal" allowBlank="1" showInputMessage="1" showErrorMessage="1" errorTitle="Bore too Large or too Small " error="The Diameter you have entered is either too large or too small of a bore size. " sqref="B14" xr:uid="{402081B2-9454-4DFE-96FB-8AF470ABC4D9}">
      <formula1>16</formula1>
      <formula2>250</formula2>
    </dataValidation>
    <dataValidation type="decimal" allowBlank="1" showInputMessage="1" showErrorMessage="1" errorTitle="Bore too large or too small " error="The diameter you have entered for the Bore is either too Large or too small " sqref="B15" xr:uid="{EC8A2273-A3B8-4FDA-9FCD-DC8C36795502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37EF3E5-BA11-4587-A506-352E68BA25E3}">
      <formula1>12</formula1>
      <formula2>200</formula2>
    </dataValidation>
    <dataValidation type="decimal" allowBlank="1" showInputMessage="1" showErrorMessage="1" errorTitle="Bore too large or too small" error="Ther bore size you have entered is either too large or too small. " sqref="C15" xr:uid="{9D757651-546B-4750-8310-D865C07CDAD4}">
      <formula1>0.5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:E14" xr:uid="{05922F7D-AB75-4C84-AFF3-3C48CD98325D}">
      <formula1>2</formula1>
      <formula2>250</formula2>
    </dataValidation>
    <dataValidation type="decimal" allowBlank="1" showInputMessage="1" showErrorMessage="1" errorTitle="Overall length too long or short" error="The overall length of the tool you selected is either tool long or too short. " sqref="D15:E15" xr:uid="{2153BCE7-E426-4F9F-A153-2277C42A40B4}">
      <formula1>0.062</formula1>
      <formula2>10</formula2>
    </dataValidation>
    <dataValidation type="whole" allowBlank="1" showInputMessage="1" showErrorMessage="1" sqref="C19:C20" xr:uid="{92968F2A-8AA3-42CE-A09C-8D2F22E4D680}">
      <formula1>0</formula1>
      <formula2>12</formula2>
    </dataValidation>
    <dataValidation type="list" allowBlank="1" showInputMessage="1" showErrorMessage="1" sqref="I11" xr:uid="{DA8BE498-1847-4387-80C6-3419DDBCEC7A}">
      <formula1>$AD$4:$AD$11</formula1>
    </dataValidation>
    <dataValidation type="list" allowBlank="1" showInputMessage="1" showErrorMessage="1" sqref="C21 G14 G19" xr:uid="{8A1B3927-7792-4B62-BEFC-558E80AC3F71}">
      <formula1>$AC$4:$AC$6</formula1>
    </dataValidation>
    <dataValidation type="list" allowBlank="1" showInputMessage="1" showErrorMessage="1" sqref="F14" xr:uid="{058F1C88-0344-4C94-93A8-14616F3EE790}">
      <formula1>$AB$4:$AB$6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Bushings</vt:lpstr>
      <vt:lpstr>T-bushings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 Campbell</dc:creator>
  <cp:lastModifiedBy>John  Campbell</cp:lastModifiedBy>
  <dcterms:created xsi:type="dcterms:W3CDTF">2023-09-22T20:09:13Z</dcterms:created>
  <dcterms:modified xsi:type="dcterms:W3CDTF">2023-09-29T14:53:04Z</dcterms:modified>
</cp:coreProperties>
</file>